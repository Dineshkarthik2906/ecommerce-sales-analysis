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sqlresult\"/>
    </mc:Choice>
  </mc:AlternateContent>
  <xr:revisionPtr revIDLastSave="0" documentId="8_{5B02B7BC-30E4-48B8-84F2-53E6A9A75E7B}" xr6:coauthVersionLast="47" xr6:coauthVersionMax="47" xr10:uidLastSave="{00000000-0000-0000-0000-000000000000}"/>
  <bookViews>
    <workbookView xWindow="3000" yWindow="3000" windowWidth="17280" windowHeight="8880" tabRatio="797" firstSheet="4" activeTab="6" xr2:uid="{5941343A-A8FA-4EE5-8685-078A3596692A}"/>
  </bookViews>
  <sheets>
    <sheet name="category_revenue (2)" sheetId="8" r:id="rId1"/>
    <sheet name="monthly_trend (2)" sheetId="9" r:id="rId2"/>
    <sheet name="payment_type (2)" sheetId="10" r:id="rId3"/>
    <sheet name="delivery_reviews (2)" sheetId="11" r:id="rId4"/>
    <sheet name="state_revenue (2)" sheetId="12" r:id="rId5"/>
    <sheet name="review_scores (2)" sheetId="15" r:id="rId6"/>
    <sheet name="dashboard " sheetId="7" r:id="rId7"/>
  </sheets>
  <definedNames>
    <definedName name="ExternalData_1" localSheetId="0" hidden="1">'category_revenue (2)'!$A$1:$G$75</definedName>
    <definedName name="ExternalData_1" localSheetId="3" hidden="1">'delivery_reviews (2)'!$A$1:$F$4</definedName>
    <definedName name="ExternalData_1" localSheetId="1" hidden="1">'monthly_trend (2)'!$A$1:$E$24</definedName>
    <definedName name="ExternalData_1" localSheetId="2" hidden="1">'payment_type (2)'!$A$1:$F$5</definedName>
    <definedName name="ExternalData_1" localSheetId="5" hidden="1">'review_scores (2)'!$A$1:$D$6</definedName>
    <definedName name="ExternalData_1" localSheetId="4" hidden="1">'state_revenue (2)'!$A$1:$F$28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nthly_trend_aa1dd846-1fa4-46bc-9443-b18b621caa52" name="monthly_trend" connection="Query - monthly_tren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26DE2-0C47-446C-9D9A-A689B6760238}" keepAlive="1" name="ModelConnection_ExternalData_1" description="Data Model" type="5" refreshedVersion="8" minRefreshableVersion="5" saveData="1">
    <dbPr connection="Data Model Connection" command="monthly_tren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37A96CA-5E58-4590-8873-4366CCD2F14D}" keepAlive="1" name="Query - category_revenue" description="Connection to the 'category_revenue' query in the workbook." type="5" refreshedVersion="8" background="1" saveData="1">
    <dbPr connection="Provider=Microsoft.Mashup.OleDb.1;Data Source=$Workbook$;Location=category_revenue;Extended Properties=&quot;&quot;" command="SELECT * FROM [category_revenue]"/>
  </connection>
  <connection id="3" xr16:uid="{B9787237-A717-477C-B268-88121FB17179}" keepAlive="1" name="Query - delivery_reviews" description="Connection to the 'delivery_reviews' query in the workbook." type="5" refreshedVersion="8" background="1" saveData="1">
    <dbPr connection="Provider=Microsoft.Mashup.OleDb.1;Data Source=$Workbook$;Location=delivery_reviews;Extended Properties=&quot;&quot;" command="SELECT * FROM [delivery_reviews]"/>
  </connection>
  <connection id="4" xr16:uid="{A110B04D-7F7E-480C-AFDA-FF6BCF70A588}" keepAlive="1" name="Query - delivery_reviews (2)" description="Connection to the 'delivery_reviews (2)' query in the workbook." type="5" refreshedVersion="8" background="1" saveData="1">
    <dbPr connection="Provider=Microsoft.Mashup.OleDb.1;Data Source=$Workbook$;Location=&quot;delivery_reviews (2)&quot;;Extended Properties=&quot;&quot;" command="SELECT * FROM [delivery_reviews (2)]"/>
  </connection>
  <connection id="5" xr16:uid="{202CF628-602B-4C28-9017-CAE8B69ED5A6}" name="Query - monthly_trend" description="Connection to the 'monthly_trend' query in the workbook." type="100" refreshedVersion="8" minRefreshableVersion="5">
    <extLst>
      <ext xmlns:x15="http://schemas.microsoft.com/office/spreadsheetml/2010/11/main" uri="{DE250136-89BD-433C-8126-D09CA5730AF9}">
        <x15:connection id="7c43bff2-e043-40c8-a307-aac5901dd30b"/>
      </ext>
    </extLst>
  </connection>
  <connection id="6" xr16:uid="{029D2635-9139-47BC-8EB4-77BC9C14C930}" keepAlive="1" name="Query - payment_type" description="Connection to the 'payment_type' query in the workbook." type="5" refreshedVersion="8" background="1" saveData="1">
    <dbPr connection="Provider=Microsoft.Mashup.OleDb.1;Data Source=$Workbook$;Location=payment_type;Extended Properties=&quot;&quot;" command="SELECT * FROM [payment_type]"/>
  </connection>
  <connection id="7" xr16:uid="{F2C43E22-0325-42C1-B1F9-91C07736F2FB}" keepAlive="1" name="Query - review_scores" description="Connection to the 'review_scores' query in the workbook." type="5" refreshedVersion="8" background="1" saveData="1">
    <dbPr connection="Provider=Microsoft.Mashup.OleDb.1;Data Source=$Workbook$;Location=review_scores;Extended Properties=&quot;&quot;" command="SELECT * FROM [review_scores]"/>
  </connection>
  <connection id="8" xr16:uid="{B26BBEA2-CB7F-4E2F-AB4B-065FFC28E615}" keepAlive="1" name="Query - state_revenue" description="Connection to the 'state_revenue' query in the workbook." type="5" refreshedVersion="8" background="1" saveData="1">
    <dbPr connection="Provider=Microsoft.Mashup.OleDb.1;Data Source=$Workbook$;Location=state_revenue;Extended Properties=&quot;&quot;" command="SELECT * FROM [state_revenue]"/>
  </connection>
  <connection id="9" xr16:uid="{CC48342C-4849-4BBD-88D2-8661407ACD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<sst xmlns="http://schemas.openxmlformats.org/spreadsheetml/2006/main" count="155" uniqueCount="145">
  <si>
    <t>category</t>
  </si>
  <si>
    <t>total_orders</t>
  </si>
  <si>
    <t>total_units_sold</t>
  </si>
  <si>
    <t>total_revenue</t>
  </si>
  <si>
    <t>total_freight</t>
  </si>
  <si>
    <t>total_order_value</t>
  </si>
  <si>
    <t>avg_item_price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</si>
  <si>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</si>
  <si>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</si>
  <si>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</si>
  <si>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</si>
  <si>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</si>
  <si>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</si>
  <si>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</si>
  <si>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</si>
  <si>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</si>
  <si>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</si>
  <si>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</si>
  <si>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</si>
  <si>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</si>
  <si>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</si>
  <si>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</si>
  <si>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</si>
  <si>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</si>
  <si>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</si>
  <si>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</si>
  <si>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</si>
  <si>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</si>
  <si>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</si>
  <si>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consoles_games</t>
  </si>
  <si>
    <t>fashion_bags_accessories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</si>
  <si>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</si>
  <si>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</si>
  <si>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</si>
  <si>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</si>
  <si>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</si>
  <si>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</si>
  <si>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</si>
  <si>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fixed_telephony</t>
  </si>
  <si>
    <t>home_confort</t>
  </si>
  <si>
    <t>air_conditioning</t>
  </si>
  <si>
    <t>audio</t>
  </si>
  <si>
    <t>small_appliances_home_oven_and_coffee</t>
  </si>
  <si>
    <t>books_general_interest</t>
  </si>
  <si>
    <t>kitchen_dining_laundry_garden_furniture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</si>
  <si>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</si>
  <si>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</si>
  <si>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</si>
  <si>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</si>
  <si>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</si>
  <si>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</si>
  <si>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</si>
  <si>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</si>
  <si>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</si>
  <si>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</si>
  <si>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</si>
  <si>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</si>
  <si>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</si>
  <si>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</si>
  <si>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</si>
  <si>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</si>
  <si>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</si>
  <si>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</si>
  <si>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</si>
  <si>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</si>
  <si>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</si>
  <si>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books_imported</t>
  </si>
  <si>
    <t>party_supplies</t>
  </si>
  <si>
    <t>furniture_mattress_and_upholstery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</si>
  <si>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</si>
  <si>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</si>
  <si>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</si>
  <si>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</si>
  <si>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</si>
  <si>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</si>
  <si>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</si>
  <si>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</si>
  <si>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</si>
  <si>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</si>
  <si>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</si>
  <si>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</si>
  <si>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order_month</t>
  </si>
  <si>
    <t>unique_customers</t>
  </si>
  <si>
    <t>monthly_revenue</t>
  </si>
  <si>
    <t>avg_order_value</t>
  </si>
  <si>
    <t>payment_type</t>
  </si>
  <si>
    <t>total_payment_value</t>
  </si>
  <si>
    <t>avg_payment_value</t>
  </si>
  <si>
    <t>avg_installments</t>
  </si>
  <si>
    <t>revenue_share_pct</t>
  </si>
  <si>
    <t>credit_card</t>
  </si>
  <si>
    <t>boleto</t>
  </si>
  <si>
    <t>voucher</t>
  </si>
  <si>
    <t>debit_card</t>
  </si>
  <si>
    <t>delivery_status</t>
  </si>
  <si>
    <t>avg_review_score</t>
  </si>
  <si>
    <t>avg_delivery_days</t>
  </si>
  <si>
    <t>avg_delay_days</t>
  </si>
  <si>
    <t>pct_of_orders</t>
  </si>
  <si>
    <t>On Time</t>
  </si>
  <si>
    <t>Slightly Late (1-7 days)</t>
  </si>
  <si>
    <t>Very Late (7+ days)</t>
  </si>
  <si>
    <t>customer_state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</si>
  <si>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</si>
  <si>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</si>
  <si>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</si>
  <si>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</si>
  <si>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</si>
  <si>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</si>
  <si>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</si>
  <si>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</si>
  <si>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</si>
  <si>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</si>
  <si>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</si>
  <si>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</si>
  <si>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</si>
  <si>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</si>
  <si>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</si>
  <si>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</si>
  <si>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</si>
  <si>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</si>
  <si>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</si>
  <si>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</si>
  <si>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</si>
  <si>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</si>
  <si>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</si>
  <si>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</si>
  <si>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</si>
  <si>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</si>
  <si>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</si>
  <si>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review_score</t>
  </si>
  <si>
    <t>num_reviews</t>
  </si>
  <si>
    <t>pct_of_total</t>
  </si>
  <si>
    <t>sentiment</t>
  </si>
  <si>
    <t>Positive</t>
  </si>
  <si>
    <t>Neutral</t>
  </si>
  <si>
    <t>Negative</t>
  </si>
  <si>
    <t>Total Revenue</t>
  </si>
  <si>
    <t>R$ 13,591,644</t>
  </si>
  <si>
    <t>Total Orders</t>
  </si>
  <si>
    <t>Avg Order Value</t>
  </si>
  <si>
    <t>R$ 121</t>
  </si>
  <si>
    <t>Avg Review Score</t>
  </si>
  <si>
    <t>Olist E-Commerce Sales Analysis Dashboard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</si>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</sst>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3" fontId="1" fillId="0" borderId="1" xfId="0" applyNumberFormat="1" applyFont="1" applyBorder="1"/>
    <xf numFmtId="0" fontId="3" fillId="3" borderId="0" xfId="0" applyFont="1" applyFill="1"/>
    <xf numFmtId="0" fontId="0" fillId="3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C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Top 10 Categories by Revenue (R$)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8698448593138393"/>
          <c:y val="0.28062772477920239"/>
          <c:w val="0.5780037280338256"/>
          <c:h val="0.710878975072867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'category_revenue (2)'!$D$1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'category_revenue (2)'!$A$2:$A$11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'category_revenue (2)'!$D$2:$D$11</c:f>
              <c:numCache>
                <c:formatCode>General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F-42AD-B9CA-A627B76AFE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0584304"/>
        <c:axId val="260585264"/>
      </c:barChart>
      <c:catAx>
        <c:axId val="26058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85264"/>
        <c:crosses val="autoZero"/>
        <c:auto val="1"/>
        <c:lblAlgn val="ctr"/>
        <c:lblOffset val="100"/>
        <c:noMultiLvlLbl val="0"/>
      </c:catAx>
      <c:valAx>
        <c:axId val="26058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58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Monthly Revenue Trend (2016–2018)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0810534844115E-2"/>
          <c:y val="0.20740013571742488"/>
          <c:w val="0.73217334219400299"/>
          <c:h val="0.59031657857382214"/>
        </c:manualLayout>
      </c:layout>
      <c:lineChart>
        <c:grouping val="standard"/>
        <c:varyColors val="0"/>
        <c:ser>
          <c:idx val="0"/>
          <c:order val="0"/>
          <c:tx>
            <c:strRef>
              <c:f>'monthly_trend (2)'!$D$1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'monthly_trend (2)'!$A$2:$A$24</c:f>
              <c:numCache>
                <c:formatCode>m/d/yyyy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'monthly_trend (2)'!$D$2:$D$24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D-4211-9F35-BE76D9B47F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2052144"/>
        <c:axId val="1510953184"/>
      </c:lineChart>
      <c:dateAx>
        <c:axId val="262052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953184"/>
        <c:crosses val="autoZero"/>
        <c:auto val="0"/>
        <c:lblOffset val="100"/>
        <c:baseTimeUnit val="months"/>
      </c:dateAx>
      <c:valAx>
        <c:axId val="15109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5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Revenue by Payment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'payment_type (2)'!$C$1</c:f>
              <c:strCache>
                <c:ptCount val="1"/>
                <c:pt idx="0">
                  <c:v>total_payment_value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42-4F0D-921A-36E2C846E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42-4F0D-921A-36E2C846E0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42-4F0D-921A-36E2C846E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42-4F0D-921A-36E2C846E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'payment_type (2)'!$A$2:$A$5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'payment_type (2)'!$C$2:$C$5</c:f>
              <c:numCache>
                <c:formatCode>General</c:formatCode>
                <c:ptCount val="4"/>
                <c:pt idx="0">
                  <c:v>12101094.880000001</c:v>
                </c:pt>
                <c:pt idx="1">
                  <c:v>2769932.58</c:v>
                </c:pt>
                <c:pt idx="2">
                  <c:v>343013.19</c:v>
                </c:pt>
                <c:pt idx="3">
                  <c:v>208421.12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42-4F0D-921A-36E2C846E0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Customer Review Score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88216568706174"/>
          <c:y val="0.19833819637554981"/>
          <c:w val="0.75057069493426221"/>
          <c:h val="0.5806334265230672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'review_scores (2)'!$B$1</c:f>
              <c:strCache>
                <c:ptCount val="1"/>
                <c:pt idx="0">
                  <c:v>num_reviews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7-4A52-B7AE-9E475968183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7-4A52-B7AE-9E475968183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A7-4A52-B7AE-9E475968183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A7-4A52-B7AE-9E4759681837}"/>
              </c:ext>
            </c:extLst>
          </c:dPt>
          <c:val>
            <c:numRef>
              <c:f>'review_scores (2)'!$B$2:$B$6</c:f>
              <c:numCache>
                <c:formatCode>General</c:formatCode>
                <c:ptCount val="5"/>
                <c:pt idx="0">
                  <c:v>9406</c:v>
                </c:pt>
                <c:pt idx="1">
                  <c:v>2941</c:v>
                </c:pt>
                <c:pt idx="2">
                  <c:v>7961</c:v>
                </c:pt>
                <c:pt idx="3">
                  <c:v>18987</c:v>
                </c:pt>
                <c:pt idx="4">
                  <c:v>57066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A7-4A52-B7AE-9E4759681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905360"/>
        <c:axId val="557905840"/>
      </c:barChart>
      <c:catAx>
        <c:axId val="5579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05840"/>
        <c:crosses val="autoZero"/>
        <c:auto val="1"/>
        <c:lblAlgn val="ctr"/>
        <c:lblOffset val="100"/>
        <c:noMultiLvlLbl val="0"/>
      </c:catAx>
      <c:valAx>
        <c:axId val="55790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Top 10 States by Revenue (R$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64658792428867"/>
          <c:y val="0.13978779528023363"/>
          <c:w val="0.79724221513195326"/>
          <c:h val="0.759370540575602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'state_revenue (2)'!$D$1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'state_revenue (2)'!$A$2:$A$11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'state_revenue (2)'!$D$2:$D$11</c:f>
              <c:numCache>
                <c:formatCode>General</c:formatCode>
                <c:ptCount val="10"/>
                <c:pt idx="0">
                  <c:v>5093379.5</c:v>
                </c:pt>
                <c:pt idx="1">
                  <c:v>1766256.97</c:v>
                </c:pt>
                <c:pt idx="2">
                  <c:v>1558668.28</c:v>
                </c:pt>
                <c:pt idx="3">
                  <c:v>732420.8</c:v>
                </c:pt>
                <c:pt idx="4">
                  <c:v>668891.26</c:v>
                </c:pt>
                <c:pt idx="5">
                  <c:v>508578.9</c:v>
                </c:pt>
                <c:pt idx="6">
                  <c:v>495416.93</c:v>
                </c:pt>
                <c:pt idx="7">
                  <c:v>298492.74</c:v>
                </c:pt>
                <c:pt idx="8">
                  <c:v>285780.24</c:v>
                </c:pt>
                <c:pt idx="9">
                  <c:v>269230.52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A-4702-B43C-2C57577B1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23357168"/>
        <c:axId val="723357648"/>
      </c:barChart>
      <c:catAx>
        <c:axId val="72335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57648"/>
        <c:crosses val="autoZero"/>
        <c:auto val="1"/>
        <c:lblAlgn val="ctr"/>
        <c:lblOffset val="100"/>
        <c:noMultiLvlLbl val="0"/>
      </c:catAx>
      <c:valAx>
        <c:axId val="72335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5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Delivery Status vs Avg Review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47810973786814"/>
          <c:y val="0.17469258210265426"/>
          <c:w val="0.64934432584808865"/>
          <c:h val="0.716044401242985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'delivery_reviews (2)'!$C$1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0-412D-9E53-7C9D225B854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30-412D-9E53-7C9D225B8543}"/>
              </c:ext>
            </c:extLst>
          </c:dPt>
          <c:cat>
            <c:strRef>
              <c:f>'delivery_reviews (2)'!$A$2:$A$4</c:f>
              <c:strCache>
                <c:ptCount val="3"/>
                <c:pt idx="0">
                  <c:v>On Time</c:v>
                </c:pt>
                <c:pt idx="1">
                  <c:v>Slightly Late (1-7 days)</c:v>
                </c:pt>
                <c:pt idx="2">
                  <c:v>Very Late (7+ days)</c:v>
                </c:pt>
              </c:strCache>
            </c:strRef>
          </c:cat>
          <c:val>
            <c:numRef>
              <c:f>'delivery_reviews (2)'!$C$2:$C$4</c:f>
              <c:numCache>
                <c:formatCode>General</c:formatCode>
                <c:ptCount val="3"/>
                <c:pt idx="0">
                  <c:v>4.29</c:v>
                </c:pt>
                <c:pt idx="1">
                  <c:v>3.06</c:v>
                </c:pt>
                <c:pt idx="2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30-412D-9E53-7C9D225B8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9154208"/>
        <c:axId val="544524256"/>
      </c:barChart>
      <c:catAx>
        <c:axId val="54915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24256"/>
        <c:crosses val="autoZero"/>
        <c:auto val="1"/>
        <c:lblAlgn val="ctr"/>
        <c:lblOffset val="100"/>
        <c:noMultiLvlLbl val="0"/>
      </c:catAx>
      <c:valAx>
        <c:axId val="5445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5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168763</xdr:colOff>
      <xdr:row>5</xdr:row>
      <xdr:rowOff>23190</xdr:rowOff>
    </xdr:from>
    <xdr:to>
      <xdr:col>3</xdr:col>
      <xdr:colOff>82827</xdr:colOff>
      <xdr:row>17</xdr:row>
      <xdr:rowOff>157369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D5D0B-DE07-4C36-AB74-71E64D508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737152</xdr:colOff>
      <xdr:row>4</xdr:row>
      <xdr:rowOff>265042</xdr:rowOff>
    </xdr:from>
    <xdr:to>
      <xdr:col>5</xdr:col>
      <xdr:colOff>1292086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EF8005-9D0B-4BB2-99FD-ABC38E68C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1703564</xdr:colOff>
      <xdr:row>5</xdr:row>
      <xdr:rowOff>82826</xdr:rowOff>
    </xdr:from>
    <xdr:to>
      <xdr:col>8</xdr:col>
      <xdr:colOff>273327</xdr:colOff>
      <xdr:row>16</xdr:row>
      <xdr:rowOff>82826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437B9-9B68-4F99-A4A2-0BB89F217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723032</xdr:colOff>
      <xdr:row>19</xdr:row>
      <xdr:rowOff>33316</xdr:rowOff>
    </xdr:from>
    <xdr:to>
      <xdr:col>5</xdr:col>
      <xdr:colOff>1267240</xdr:colOff>
      <xdr:row>33</xdr:row>
      <xdr:rowOff>66261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079B05-1ECC-4C2B-8C91-D4FE68B86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1747630</xdr:colOff>
      <xdr:row>19</xdr:row>
      <xdr:rowOff>33132</xdr:rowOff>
    </xdr:from>
    <xdr:to>
      <xdr:col>8</xdr:col>
      <xdr:colOff>347868</xdr:colOff>
      <xdr:row>33</xdr:row>
      <xdr:rowOff>16566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BCE60B-C2DF-4687-995E-91DBE31AC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174988</xdr:colOff>
      <xdr:row>18</xdr:row>
      <xdr:rowOff>28160</xdr:rowOff>
    </xdr:from>
    <xdr:to>
      <xdr:col>3</xdr:col>
      <xdr:colOff>16566</xdr:colOff>
      <xdr:row>33</xdr:row>
      <xdr:rowOff>49696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C2D737-2DF2-49AD-A40D-320489D88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1207D3-AB49-4534-9C3C-96829BDDABDE}" autoFormatId="16" applyNumberFormats="0" applyBorderFormats="0" applyFontFormats="0" applyPatternFormats="0" applyAlignmentFormats="0" applyWidthHeightFormats="0">
  <queryTableRefresh nextId="8">
    <queryTableFields count="7">
      <queryTableField id="1" name="category" tableColumnId="1"/>
      <queryTableField id="2" name="total_orders" tableColumnId="2"/>
      <queryTableField id="3" name="total_units_sold" tableColumnId="3"/>
      <queryTableField id="4" name="total_revenue" tableColumnId="4"/>
      <queryTableField id="5" name="total_freight" tableColumnId="5"/>
      <queryTableField id="6" name="total_order_value" tableColumnId="6"/>
      <queryTableField id="7" name="avg_item_pric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2C4C453-37AF-4681-9DAB-DFD4EEB66C2A}" autoFormatId="16" applyNumberFormats="0" applyBorderFormats="0" applyFontFormats="0" applyPatternFormats="0" applyAlignmentFormats="0" applyWidthHeightFormats="0">
  <queryTableRefresh nextId="6">
    <queryTableFields count="5">
      <queryTableField id="1" name="order_month" tableColumnId="1"/>
      <queryTableField id="2" name="total_orders" tableColumnId="2"/>
      <queryTableField id="3" name="unique_customers" tableColumnId="3"/>
      <queryTableField id="4" name="monthly_revenue" tableColumnId="4"/>
      <queryTableField id="5" name="avg_order_value" tableColumnId="5"/>
    </queryTableFields>
  </queryTableRefresh>
  <extLst>
    <ext xmlns:x15="http://schemas.microsoft.com/office/spreadsheetml/2010/11/main" uri="{883FBD77-0823-4a55-B5E3-86C4891E6966}">
      <x15:queryTable sourceDataName="Query - monthly_tren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447FA5A-2396-4368-81C6-B39608A61A67}" autoFormatId="16" applyNumberFormats="0" applyBorderFormats="0" applyFontFormats="0" applyPatternFormats="0" applyAlignmentFormats="0" applyWidthHeightFormats="0">
  <queryTableRefresh nextId="7">
    <queryTableFields count="6">
      <queryTableField id="1" name="payment_type" tableColumnId="1"/>
      <queryTableField id="2" name="total_orders" tableColumnId="2"/>
      <queryTableField id="3" name="total_payment_value" tableColumnId="3"/>
      <queryTableField id="4" name="avg_payment_value" tableColumnId="4"/>
      <queryTableField id="5" name="avg_installments" tableColumnId="5"/>
      <queryTableField id="6" name="revenue_share_pc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03FDE3E-FB9E-4C17-AFEF-EDF0D3B4A0B6}" autoFormatId="16" applyNumberFormats="0" applyBorderFormats="0" applyFontFormats="0" applyPatternFormats="0" applyAlignmentFormats="0" applyWidthHeightFormats="0">
  <queryTableRefresh nextId="7">
    <queryTableFields count="6">
      <queryTableField id="1" name="delivery_status" tableColumnId="1"/>
      <queryTableField id="2" name="total_orders" tableColumnId="2"/>
      <queryTableField id="3" name="avg_review_score" tableColumnId="3"/>
      <queryTableField id="4" name="avg_delivery_days" tableColumnId="4"/>
      <queryTableField id="5" name="avg_delay_days" tableColumnId="5"/>
      <queryTableField id="6" name="pct_of_order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3F8DED2-8C5F-4C34-A9A4-B23CF94D8470}" autoFormatId="16" applyNumberFormats="0" applyBorderFormats="0" applyFontFormats="0" applyPatternFormats="0" applyAlignmentFormats="0" applyWidthHeightFormats="0">
  <queryTableRefresh nextId="7">
    <queryTableFields count="6">
      <queryTableField id="1" name="customer_state" tableColumnId="1"/>
      <queryTableField id="2" name="unique_customers" tableColumnId="2"/>
      <queryTableField id="3" name="total_orders" tableColumnId="3"/>
      <queryTableField id="4" name="total_revenue" tableColumnId="4"/>
      <queryTableField id="5" name="avg_order_value" tableColumnId="5"/>
      <queryTableField id="6" name="avg_review_scor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0A726E5-0013-4EB5-AB4A-686866DC99C7}" autoFormatId="16" applyNumberFormats="0" applyBorderFormats="0" applyFontFormats="0" applyPatternFormats="0" applyAlignmentFormats="0" applyWidthHeightFormats="0">
  <queryTableRefresh nextId="5">
    <queryTableFields count="4">
      <queryTableField id="1" name="review_score" tableColumnId="1"/>
      <queryTableField id="2" name="num_reviews" tableColumnId="2"/>
      <queryTableField id="3" name="pct_of_total" tableColumnId="3"/>
      <queryTableField id="4" name="senti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7D7D7-44E2-44AD-AAEF-5D6247161C9A}" name="category_revenue" displayName="category_revenue" ref="A1:G75" tableType="queryTable" totalsRowShown="0">
  <autoFilter ref="A1:G75" xr:uid="{E8E7D7D7-44E2-44AD-AAEF-5D6247161C9A}"/>
  <tableColumns count="7">
    <tableColumn id="1" xr3:uid="{D36E0220-CE64-465C-9079-ED7F20B70454}" uniqueName="1" name="category" queryTableFieldId="1" dataDxfId="5"/>
    <tableColumn id="2" xr3:uid="{96755345-2E7D-435A-B746-32DDE78E1471}" uniqueName="2" name="total_orders" queryTableFieldId="2"/>
    <tableColumn id="3" xr3:uid="{C8A59533-5FF1-4778-93B4-1785A8DE2661}" uniqueName="3" name="total_units_sold" queryTableFieldId="3"/>
    <tableColumn id="4" xr3:uid="{39431816-1892-4677-975B-9C6D1E78EB4A}" uniqueName="4" name="total_revenue" queryTableFieldId="4"/>
    <tableColumn id="5" xr3:uid="{2414090D-4F39-4BCD-8476-E5D6549EF244}" uniqueName="5" name="total_freight" queryTableFieldId="5"/>
    <tableColumn id="6" xr3:uid="{BE83446B-4B89-4600-98A9-BAA3268971AD}" uniqueName="6" name="total_order_value" queryTableFieldId="6"/>
    <tableColumn id="7" xr3:uid="{05AEC78B-2A6E-438E-B3ED-2C7CA2C9DCD3}" uniqueName="7" name="avg_item_pric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8AA869-F91A-45E7-874E-C07989F32325}" name="monthly_trend" displayName="monthly_trend" ref="A1:E24" tableType="queryTable" totalsRowShown="0">
  <autoFilter ref="A1:E24" xr:uid="{AE8AA869-F91A-45E7-874E-C07989F32325}"/>
  <tableColumns count="5">
    <tableColumn id="1" xr3:uid="{553AC591-47AE-4849-80E7-7E21CE026493}" uniqueName="1" name="order_month" queryTableFieldId="1" dataDxfId="4"/>
    <tableColumn id="2" xr3:uid="{6F666C0D-3544-4A47-99C4-6B652AC98829}" uniqueName="2" name="total_orders" queryTableFieldId="2"/>
    <tableColumn id="3" xr3:uid="{CB730EC9-7EEF-4404-9C1E-19D249CE092D}" uniqueName="3" name="unique_customers" queryTableFieldId="3"/>
    <tableColumn id="4" xr3:uid="{63BF5EDF-F6F1-4943-A62E-06A2390C15BB}" uniqueName="4" name="monthly_revenue" queryTableFieldId="4"/>
    <tableColumn id="5" xr3:uid="{12C2BAB9-7D47-4E5E-8D16-05DBD89D91D4}" uniqueName="5" name="avg_order_val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9C4B6-F469-45F9-ACDD-6EA8C4518343}" name="payment_type" displayName="payment_type" ref="A1:F5" tableType="queryTable" totalsRowShown="0">
  <autoFilter ref="A1:F5" xr:uid="{4B29C4B6-F469-45F9-ACDD-6EA8C4518343}"/>
  <tableColumns count="6">
    <tableColumn id="1" xr3:uid="{7E17C589-F435-4BBF-9AB2-5BD0412D963D}" uniqueName="1" name="payment_type" queryTableFieldId="1" dataDxfId="3"/>
    <tableColumn id="2" xr3:uid="{BBC959F5-4E4F-4535-A71E-1CD4DCBCC285}" uniqueName="2" name="total_orders" queryTableFieldId="2"/>
    <tableColumn id="3" xr3:uid="{9DC96A3F-DDC0-44CB-AC04-A39185F0174F}" uniqueName="3" name="total_payment_value" queryTableFieldId="3"/>
    <tableColumn id="4" xr3:uid="{C59E99B9-D63F-4EBF-952C-A433EA2B506B}" uniqueName="4" name="avg_payment_value" queryTableFieldId="4"/>
    <tableColumn id="5" xr3:uid="{6A3B41F2-4CFF-4827-B92E-C23B0B4CA7C5}" uniqueName="5" name="avg_installments" queryTableFieldId="5"/>
    <tableColumn id="6" xr3:uid="{A361265C-BF15-486E-BAFC-93C7568D328E}" uniqueName="6" name="revenue_share_pct" queryTableField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732DA1-A354-4B7E-BF85-7F5C26B0FC7A}" name="delivery_reviews" displayName="delivery_reviews" ref="A1:F4" tableType="queryTable" totalsRowShown="0">
  <autoFilter ref="A1:F4" xr:uid="{52732DA1-A354-4B7E-BF85-7F5C26B0FC7A}"/>
  <tableColumns count="6">
    <tableColumn id="1" xr3:uid="{F3731039-FAC7-42C2-BC43-E3A48F40C041}" uniqueName="1" name="delivery_status" queryTableFieldId="1" dataDxfId="2"/>
    <tableColumn id="2" xr3:uid="{CB5585F3-DB68-437D-9F52-F2856876202A}" uniqueName="2" name="total_orders" queryTableFieldId="2"/>
    <tableColumn id="3" xr3:uid="{5F6C573E-D71E-47F1-AF3E-106B4929AA6A}" uniqueName="3" name="avg_review_score" queryTableFieldId="3"/>
    <tableColumn id="4" xr3:uid="{33FDC39D-5CC3-4C40-A2D0-DF46125C8255}" uniqueName="4" name="avg_delivery_days" queryTableFieldId="4"/>
    <tableColumn id="5" xr3:uid="{093E4AF0-18BC-45B6-8129-F68B585EC4E4}" uniqueName="5" name="avg_delay_days" queryTableFieldId="5"/>
    <tableColumn id="6" xr3:uid="{FB886263-DC31-4BCC-BA6E-41EE506546B4}" uniqueName="6" name="pct_of_orders" queryTableField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D323E3-2B3C-4B1C-BC3A-950857B05538}" name="state_revenue" displayName="state_revenue" ref="A1:F28" tableType="queryTable" totalsRowShown="0">
  <autoFilter ref="A1:F28" xr:uid="{30D323E3-2B3C-4B1C-BC3A-950857B05538}"/>
  <tableColumns count="6">
    <tableColumn id="1" xr3:uid="{3B5341C1-1C60-40F2-8C18-24AD19BC5999}" uniqueName="1" name="customer_state" queryTableFieldId="1" dataDxfId="1"/>
    <tableColumn id="2" xr3:uid="{B1802683-E5D9-42EB-8053-1C2A48E6C649}" uniqueName="2" name="unique_customers" queryTableFieldId="2"/>
    <tableColumn id="3" xr3:uid="{98FC2AE9-957C-45D7-B273-3A4F9F765709}" uniqueName="3" name="total_orders" queryTableFieldId="3"/>
    <tableColumn id="4" xr3:uid="{8D8617DC-D009-4F4C-9CBF-12C385C0209B}" uniqueName="4" name="total_revenue" queryTableFieldId="4"/>
    <tableColumn id="5" xr3:uid="{63A4C2B1-1AC9-47A6-A743-55724186A5C2}" uniqueName="5" name="avg_order_value" queryTableFieldId="5"/>
    <tableColumn id="6" xr3:uid="{04706993-8EE6-42F0-90CC-F48E0A1D9D03}" uniqueName="6" name="avg_review_score" queryTableField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13AB1-2CE5-4D9F-82D5-05E6BFC000B6}" name="review_scores" displayName="review_scores" ref="A1:D6" tableType="queryTable" totalsRowShown="0">
  <autoFilter ref="A1:D6" xr:uid="{C3B13AB1-2CE5-4D9F-82D5-05E6BFC000B6}"/>
  <sortState xmlns:xlrd2="http://schemas.microsoft.com/office/spreadsheetml/2017/richdata2" ref="A2:D6">
    <sortCondition ref="A2:A6"/>
  </sortState>
  <tableColumns count="4">
    <tableColumn id="1" xr3:uid="{5DB8B558-C14D-40F9-AF50-35ED6528F097}" uniqueName="1" name="review_score" queryTableFieldId="1"/>
    <tableColumn id="2" xr3:uid="{C4A387EA-40BB-4D1F-899E-E4FD68D9F8B9}" uniqueName="2" name="num_reviews" queryTableFieldId="2"/>
    <tableColumn id="3" xr3:uid="{31780994-8105-4061-81E0-EF52BB9E5129}" uniqueName="3" name="pct_of_total" queryTableFieldId="3"/>
    <tableColumn id="4" xr3:uid="{CF3A5413-D8A7-4A56-91CF-3634064F9B59}" uniqueName="4" name="sentiment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7A04-F434-4452-AC15-7467BAD8C46C}">
  <dimension ref="A1:G75"/>
  <sheetViews>
    <sheetView topLeftCell="A2" workbookViewId="0">
      <selection activeCell="D11" activeCellId="1" sqref="A1:A11 D1:D11"/>
    </sheetView>
  </sheetViews>
  <sheetFormatPr defaultRowHeight="14.4" x14ac:dyDescent="0.3"/>
  <cols>
    <col min="1" max="1" width="36.5546875" bestFit="1" customWidth="1"/>
    <col min="2" max="2" width="13.44140625" bestFit="1" customWidth="1"/>
    <col min="3" max="3" width="16.77734375" bestFit="1" customWidth="1"/>
    <col min="4" max="4" width="15" bestFit="1" customWidth="1"/>
    <col min="5" max="5" width="13.6640625" bestFit="1" customWidth="1"/>
    <col min="6" max="6" width="18.33203125" bestFit="1" customWidth="1"/>
    <col min="7" max="7" width="16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8836</v>
      </c>
      <c r="C2">
        <v>11081</v>
      </c>
      <c r="D2">
        <v>1258681.3400000001</v>
      </c>
      <c r="E2">
        <v>182566.73</v>
      </c>
      <c r="F2">
        <v>1441248.07</v>
      </c>
      <c r="G2">
        <v>130.16</v>
      </c>
    </row>
    <row r="3" spans="1:7" x14ac:dyDescent="0.3">
      <c r="A3" t="s">
        <v>8</v>
      </c>
      <c r="B3">
        <v>5624</v>
      </c>
      <c r="C3">
        <v>6594</v>
      </c>
      <c r="D3">
        <v>1205005.68</v>
      </c>
      <c r="E3">
        <v>100535.93</v>
      </c>
      <c r="F3">
        <v>1305541.6100000001</v>
      </c>
      <c r="G3">
        <v>201.14</v>
      </c>
    </row>
    <row r="4" spans="1:7" x14ac:dyDescent="0.3">
      <c r="A4" t="s">
        <v>9</v>
      </c>
      <c r="B4">
        <v>9417</v>
      </c>
      <c r="C4">
        <v>13665</v>
      </c>
      <c r="D4">
        <v>1036988.68</v>
      </c>
      <c r="E4">
        <v>204693.04</v>
      </c>
      <c r="F4">
        <v>1241681.72</v>
      </c>
      <c r="G4">
        <v>93.3</v>
      </c>
    </row>
    <row r="5" spans="1:7" x14ac:dyDescent="0.3">
      <c r="A5" t="s">
        <v>10</v>
      </c>
      <c r="B5">
        <v>7720</v>
      </c>
      <c r="C5">
        <v>9932</v>
      </c>
      <c r="D5">
        <v>988048.97</v>
      </c>
      <c r="E5">
        <v>168607.51</v>
      </c>
      <c r="F5">
        <v>1156656.48</v>
      </c>
      <c r="G5">
        <v>114.34</v>
      </c>
    </row>
    <row r="6" spans="1:7" x14ac:dyDescent="0.3">
      <c r="A6" t="s">
        <v>11</v>
      </c>
      <c r="B6">
        <v>6689</v>
      </c>
      <c r="C6">
        <v>9874</v>
      </c>
      <c r="D6">
        <v>911954.32</v>
      </c>
      <c r="E6">
        <v>147318.07999999999</v>
      </c>
      <c r="F6">
        <v>1059272.3999999999</v>
      </c>
      <c r="G6">
        <v>116.51</v>
      </c>
    </row>
    <row r="7" spans="1:7" x14ac:dyDescent="0.3">
      <c r="A7" t="s">
        <v>12</v>
      </c>
      <c r="B7">
        <v>6449</v>
      </c>
      <c r="C7">
        <v>11540</v>
      </c>
      <c r="D7">
        <v>729762.49</v>
      </c>
      <c r="E7">
        <v>172749.3</v>
      </c>
      <c r="F7">
        <v>902511.79</v>
      </c>
      <c r="G7">
        <v>87.56</v>
      </c>
    </row>
    <row r="8" spans="1:7" x14ac:dyDescent="0.3">
      <c r="A8" t="s">
        <v>13</v>
      </c>
      <c r="B8">
        <v>3632</v>
      </c>
      <c r="C8">
        <v>4077</v>
      </c>
      <c r="D8">
        <v>635290.85</v>
      </c>
      <c r="E8">
        <v>84039.1</v>
      </c>
      <c r="F8">
        <v>719329.95</v>
      </c>
      <c r="G8">
        <v>167.36</v>
      </c>
    </row>
    <row r="9" spans="1:7" x14ac:dyDescent="0.3">
      <c r="A9" t="s">
        <v>14</v>
      </c>
      <c r="B9">
        <v>5884</v>
      </c>
      <c r="C9">
        <v>9051</v>
      </c>
      <c r="D9">
        <v>632248.66</v>
      </c>
      <c r="E9">
        <v>146149.10999999999</v>
      </c>
      <c r="F9">
        <v>778397.77</v>
      </c>
      <c r="G9">
        <v>90.79</v>
      </c>
    </row>
    <row r="10" spans="1:7" x14ac:dyDescent="0.3">
      <c r="A10" t="s">
        <v>15</v>
      </c>
      <c r="B10">
        <v>3897</v>
      </c>
      <c r="C10">
        <v>4881</v>
      </c>
      <c r="D10">
        <v>592720.11</v>
      </c>
      <c r="E10">
        <v>92664.21</v>
      </c>
      <c r="F10">
        <v>685384.32</v>
      </c>
      <c r="G10">
        <v>139.96</v>
      </c>
    </row>
    <row r="11" spans="1:7" x14ac:dyDescent="0.3">
      <c r="A11" t="s">
        <v>16</v>
      </c>
      <c r="B11">
        <v>3518</v>
      </c>
      <c r="C11">
        <v>5874</v>
      </c>
      <c r="D11">
        <v>485256.46</v>
      </c>
      <c r="E11">
        <v>98962.75</v>
      </c>
      <c r="F11">
        <v>584219.21</v>
      </c>
      <c r="G11">
        <v>111.63</v>
      </c>
    </row>
    <row r="12" spans="1:7" x14ac:dyDescent="0.3">
      <c r="A12" t="s">
        <v>17</v>
      </c>
      <c r="B12">
        <v>3886</v>
      </c>
      <c r="C12">
        <v>4445</v>
      </c>
      <c r="D12">
        <v>483946.6</v>
      </c>
      <c r="E12">
        <v>77425.95</v>
      </c>
      <c r="F12">
        <v>561372.55000000005</v>
      </c>
      <c r="G12">
        <v>117.55</v>
      </c>
    </row>
    <row r="13" spans="1:7" x14ac:dyDescent="0.3">
      <c r="A13" t="s">
        <v>18</v>
      </c>
      <c r="B13">
        <v>2885</v>
      </c>
      <c r="C13">
        <v>3427</v>
      </c>
      <c r="D13">
        <v>411764.89</v>
      </c>
      <c r="E13">
        <v>68353.11</v>
      </c>
      <c r="F13">
        <v>480118</v>
      </c>
      <c r="G13">
        <v>134.34</v>
      </c>
    </row>
    <row r="14" spans="1:7" x14ac:dyDescent="0.3">
      <c r="A14" t="s">
        <v>19</v>
      </c>
      <c r="B14">
        <v>3162</v>
      </c>
      <c r="C14">
        <v>3785</v>
      </c>
      <c r="D14">
        <v>399124.87</v>
      </c>
      <c r="E14">
        <v>54213.84</v>
      </c>
      <c r="F14">
        <v>453338.71</v>
      </c>
      <c r="G14">
        <v>116.74</v>
      </c>
    </row>
    <row r="15" spans="1:7" x14ac:dyDescent="0.3">
      <c r="A15" t="s">
        <v>20</v>
      </c>
      <c r="B15">
        <v>4199</v>
      </c>
      <c r="C15">
        <v>5161</v>
      </c>
      <c r="D15">
        <v>323667.53000000003</v>
      </c>
      <c r="E15">
        <v>71215.789999999994</v>
      </c>
      <c r="F15">
        <v>394883.32</v>
      </c>
      <c r="G15">
        <v>71.209999999999994</v>
      </c>
    </row>
    <row r="16" spans="1:7" x14ac:dyDescent="0.3">
      <c r="A16" t="s">
        <v>21</v>
      </c>
      <c r="B16">
        <v>1273</v>
      </c>
      <c r="C16">
        <v>2538</v>
      </c>
      <c r="D16">
        <v>273960.7</v>
      </c>
      <c r="E16">
        <v>68571.95</v>
      </c>
      <c r="F16">
        <v>342532.65</v>
      </c>
      <c r="G16">
        <v>162.01</v>
      </c>
    </row>
    <row r="17" spans="1:7" x14ac:dyDescent="0.3">
      <c r="A17" t="s">
        <v>22</v>
      </c>
      <c r="B17">
        <v>2311</v>
      </c>
      <c r="C17">
        <v>2805</v>
      </c>
      <c r="D17">
        <v>230943.23</v>
      </c>
      <c r="E17">
        <v>46798.48</v>
      </c>
      <c r="F17">
        <v>277741.71000000002</v>
      </c>
      <c r="G17">
        <v>91.75</v>
      </c>
    </row>
    <row r="18" spans="1:7" x14ac:dyDescent="0.3">
      <c r="A18" t="s">
        <v>23</v>
      </c>
      <c r="B18">
        <v>181</v>
      </c>
      <c r="C18">
        <v>235</v>
      </c>
      <c r="D18">
        <v>222963.13</v>
      </c>
      <c r="E18">
        <v>9836.2999999999993</v>
      </c>
      <c r="F18">
        <v>232799.43</v>
      </c>
      <c r="G18">
        <v>1098.3399999999999</v>
      </c>
    </row>
    <row r="19" spans="1:7" x14ac:dyDescent="0.3">
      <c r="A19" t="s">
        <v>24</v>
      </c>
      <c r="B19">
        <v>1710</v>
      </c>
      <c r="C19">
        <v>2276</v>
      </c>
      <c r="D19">
        <v>214315.41</v>
      </c>
      <c r="E19">
        <v>39561.24</v>
      </c>
      <c r="F19">
        <v>253876.65</v>
      </c>
      <c r="G19">
        <v>110.07</v>
      </c>
    </row>
    <row r="20" spans="1:7" x14ac:dyDescent="0.3">
      <c r="A20" t="s">
        <v>25</v>
      </c>
      <c r="B20">
        <v>628</v>
      </c>
      <c r="C20">
        <v>766</v>
      </c>
      <c r="D20">
        <v>191498.88</v>
      </c>
      <c r="E20">
        <v>18638.490000000002</v>
      </c>
      <c r="F20">
        <v>210137.37</v>
      </c>
      <c r="G20">
        <v>281.62</v>
      </c>
    </row>
    <row r="21" spans="1:7" x14ac:dyDescent="0.3">
      <c r="A21" t="s">
        <v>26</v>
      </c>
      <c r="B21">
        <v>630</v>
      </c>
      <c r="C21">
        <v>745</v>
      </c>
      <c r="D21">
        <v>190648.58</v>
      </c>
      <c r="E21">
        <v>16020.25</v>
      </c>
      <c r="F21">
        <v>206668.83</v>
      </c>
      <c r="G21">
        <v>280.77999999999997</v>
      </c>
    </row>
    <row r="22" spans="1:7" x14ac:dyDescent="0.3">
      <c r="A22" t="s">
        <v>27</v>
      </c>
      <c r="B22">
        <v>1451</v>
      </c>
      <c r="C22">
        <v>1878</v>
      </c>
      <c r="D22">
        <v>179535.28</v>
      </c>
      <c r="E22">
        <v>28169.81</v>
      </c>
      <c r="F22">
        <v>207705.09</v>
      </c>
      <c r="G22">
        <v>112</v>
      </c>
    </row>
    <row r="23" spans="1:7" x14ac:dyDescent="0.3">
      <c r="A23" t="s">
        <v>28</v>
      </c>
      <c r="B23">
        <v>2550</v>
      </c>
      <c r="C23">
        <v>3092</v>
      </c>
      <c r="D23">
        <v>160246.74</v>
      </c>
      <c r="E23">
        <v>46578.32</v>
      </c>
      <c r="F23">
        <v>206825.06</v>
      </c>
      <c r="G23">
        <v>57.91</v>
      </c>
    </row>
    <row r="24" spans="1:7" x14ac:dyDescent="0.3">
      <c r="A24" t="s">
        <v>29</v>
      </c>
      <c r="B24">
        <v>1062</v>
      </c>
      <c r="C24">
        <v>1246</v>
      </c>
      <c r="D24">
        <v>157465.22</v>
      </c>
      <c r="E24">
        <v>19828.02</v>
      </c>
      <c r="F24">
        <v>177293.24</v>
      </c>
      <c r="G24">
        <v>138.49</v>
      </c>
    </row>
    <row r="25" spans="1:7" x14ac:dyDescent="0.3">
      <c r="A25" t="s">
        <v>30</v>
      </c>
      <c r="B25">
        <v>1864</v>
      </c>
      <c r="C25">
        <v>2267</v>
      </c>
      <c r="D25">
        <v>152823.54</v>
      </c>
      <c r="E25">
        <v>31450</v>
      </c>
      <c r="F25">
        <v>184273.54</v>
      </c>
      <c r="G25">
        <v>75.25</v>
      </c>
    </row>
    <row r="26" spans="1:7" x14ac:dyDescent="0.3">
      <c r="A26" t="s">
        <v>31</v>
      </c>
      <c r="B26">
        <v>748</v>
      </c>
      <c r="C26">
        <v>1289</v>
      </c>
      <c r="D26">
        <v>144677.59</v>
      </c>
      <c r="E26">
        <v>20650.41</v>
      </c>
      <c r="F26">
        <v>165328</v>
      </c>
      <c r="G26">
        <v>155.72999999999999</v>
      </c>
    </row>
    <row r="27" spans="1:7" x14ac:dyDescent="0.3">
      <c r="A27" t="s">
        <v>32</v>
      </c>
      <c r="B27">
        <v>1034</v>
      </c>
      <c r="C27">
        <v>1171</v>
      </c>
      <c r="D27">
        <v>140429.98000000001</v>
      </c>
      <c r="E27">
        <v>30445.23</v>
      </c>
      <c r="F27">
        <v>170875.21</v>
      </c>
      <c r="G27">
        <v>128.6</v>
      </c>
    </row>
    <row r="28" spans="1:7" x14ac:dyDescent="0.3">
      <c r="A28" t="s">
        <v>33</v>
      </c>
      <c r="B28">
        <v>234</v>
      </c>
      <c r="C28">
        <v>243</v>
      </c>
      <c r="D28">
        <v>113317.74</v>
      </c>
      <c r="E28">
        <v>10600.18</v>
      </c>
      <c r="F28">
        <v>123917.92</v>
      </c>
      <c r="G28">
        <v>476.12</v>
      </c>
    </row>
    <row r="29" spans="1:7" x14ac:dyDescent="0.3">
      <c r="A29" t="s">
        <v>34</v>
      </c>
      <c r="B29">
        <v>490</v>
      </c>
      <c r="C29">
        <v>815</v>
      </c>
      <c r="D29">
        <v>83088.12</v>
      </c>
      <c r="E29">
        <v>13832.24</v>
      </c>
      <c r="F29">
        <v>96920.36</v>
      </c>
      <c r="G29">
        <v>137.56</v>
      </c>
    </row>
    <row r="30" spans="1:7" x14ac:dyDescent="0.3">
      <c r="A30" t="s">
        <v>35</v>
      </c>
      <c r="B30">
        <v>764</v>
      </c>
      <c r="C30">
        <v>778</v>
      </c>
      <c r="D30">
        <v>80171.53</v>
      </c>
      <c r="E30">
        <v>14818.9</v>
      </c>
      <c r="F30">
        <v>94990.43</v>
      </c>
      <c r="G30">
        <v>103.98</v>
      </c>
    </row>
    <row r="31" spans="1:7" x14ac:dyDescent="0.3">
      <c r="A31" t="s">
        <v>36</v>
      </c>
      <c r="B31">
        <v>182</v>
      </c>
      <c r="C31">
        <v>265</v>
      </c>
      <c r="D31">
        <v>72530.47</v>
      </c>
      <c r="E31">
        <v>5843.6</v>
      </c>
      <c r="F31">
        <v>78374.070000000007</v>
      </c>
      <c r="G31">
        <v>342.12</v>
      </c>
    </row>
    <row r="32" spans="1:7" x14ac:dyDescent="0.3">
      <c r="A32" t="s">
        <v>37</v>
      </c>
      <c r="B32">
        <v>422</v>
      </c>
      <c r="C32">
        <v>665</v>
      </c>
      <c r="D32">
        <v>68916.56</v>
      </c>
      <c r="E32">
        <v>17968.169999999998</v>
      </c>
      <c r="F32">
        <v>86884.73</v>
      </c>
      <c r="G32">
        <v>137.01</v>
      </c>
    </row>
    <row r="33" spans="1:7" x14ac:dyDescent="0.3">
      <c r="A33" t="s">
        <v>38</v>
      </c>
      <c r="B33">
        <v>217</v>
      </c>
      <c r="C33">
        <v>366</v>
      </c>
      <c r="D33">
        <v>59583</v>
      </c>
      <c r="E33">
        <v>4637.8100000000004</v>
      </c>
      <c r="F33">
        <v>64220.81</v>
      </c>
      <c r="G33">
        <v>225.69</v>
      </c>
    </row>
    <row r="34" spans="1:7" x14ac:dyDescent="0.3">
      <c r="A34" t="s">
        <v>39</v>
      </c>
      <c r="B34">
        <v>397</v>
      </c>
      <c r="C34">
        <v>513</v>
      </c>
      <c r="D34">
        <v>58572.04</v>
      </c>
      <c r="E34">
        <v>8501.23</v>
      </c>
      <c r="F34">
        <v>67073.27</v>
      </c>
      <c r="G34">
        <v>134.96</v>
      </c>
    </row>
    <row r="35" spans="1:7" x14ac:dyDescent="0.3">
      <c r="A35" t="s">
        <v>40</v>
      </c>
      <c r="B35">
        <v>253</v>
      </c>
      <c r="C35">
        <v>362</v>
      </c>
      <c r="D35">
        <v>55024.959999999999</v>
      </c>
      <c r="E35">
        <v>6749.23</v>
      </c>
      <c r="F35">
        <v>61774.19</v>
      </c>
      <c r="G35">
        <v>185.27</v>
      </c>
    </row>
    <row r="36" spans="1:7" x14ac:dyDescent="0.3">
      <c r="A36" t="s">
        <v>41</v>
      </c>
      <c r="B36">
        <v>350</v>
      </c>
      <c r="C36">
        <v>383</v>
      </c>
      <c r="D36">
        <v>50688.5</v>
      </c>
      <c r="E36">
        <v>5710.44</v>
      </c>
      <c r="F36">
        <v>56398.94</v>
      </c>
      <c r="G36">
        <v>139.25</v>
      </c>
    </row>
    <row r="37" spans="1:7" x14ac:dyDescent="0.3">
      <c r="A37" t="s">
        <v>42</v>
      </c>
      <c r="B37">
        <v>75</v>
      </c>
      <c r="C37">
        <v>77</v>
      </c>
      <c r="D37">
        <v>47445.71</v>
      </c>
      <c r="E37">
        <v>2747.86</v>
      </c>
      <c r="F37">
        <v>50193.57</v>
      </c>
      <c r="G37">
        <v>624.29</v>
      </c>
    </row>
    <row r="38" spans="1:7" x14ac:dyDescent="0.3">
      <c r="A38" t="s">
        <v>43</v>
      </c>
      <c r="B38">
        <v>512</v>
      </c>
      <c r="C38">
        <v>609</v>
      </c>
      <c r="D38">
        <v>46856.88</v>
      </c>
      <c r="E38">
        <v>9195.52</v>
      </c>
      <c r="F38">
        <v>56052.4</v>
      </c>
      <c r="G38">
        <v>84.73</v>
      </c>
    </row>
    <row r="39" spans="1:7" x14ac:dyDescent="0.3">
      <c r="A39" t="s">
        <v>44</v>
      </c>
      <c r="B39">
        <v>248</v>
      </c>
      <c r="C39">
        <v>325</v>
      </c>
      <c r="D39">
        <v>46328.37</v>
      </c>
      <c r="E39">
        <v>11999.43</v>
      </c>
      <c r="F39">
        <v>58327.8</v>
      </c>
      <c r="G39">
        <v>164.87</v>
      </c>
    </row>
    <row r="40" spans="1:7" x14ac:dyDescent="0.3">
      <c r="A40" t="s">
        <v>45</v>
      </c>
      <c r="B40">
        <v>244</v>
      </c>
      <c r="C40">
        <v>432</v>
      </c>
      <c r="D40">
        <v>41080</v>
      </c>
      <c r="E40">
        <v>7583.8</v>
      </c>
      <c r="F40">
        <v>48663.8</v>
      </c>
      <c r="G40">
        <v>135.13</v>
      </c>
    </row>
    <row r="41" spans="1:7" x14ac:dyDescent="0.3">
      <c r="A41" t="s">
        <v>46</v>
      </c>
      <c r="B41">
        <v>167</v>
      </c>
      <c r="C41">
        <v>252</v>
      </c>
      <c r="D41">
        <v>40544.519999999997</v>
      </c>
      <c r="E41">
        <v>3919.1</v>
      </c>
      <c r="F41">
        <v>44463.62</v>
      </c>
      <c r="G41">
        <v>208.99</v>
      </c>
    </row>
    <row r="42" spans="1:7" x14ac:dyDescent="0.3">
      <c r="A42" t="s">
        <v>47</v>
      </c>
      <c r="B42">
        <v>235</v>
      </c>
      <c r="C42">
        <v>312</v>
      </c>
      <c r="D42">
        <v>39669.61</v>
      </c>
      <c r="E42">
        <v>7884.68</v>
      </c>
      <c r="F42">
        <v>47554.29</v>
      </c>
      <c r="G42">
        <v>148.02000000000001</v>
      </c>
    </row>
    <row r="43" spans="1:7" x14ac:dyDescent="0.3">
      <c r="A43" t="s">
        <v>48</v>
      </c>
      <c r="B43">
        <v>450</v>
      </c>
      <c r="C43">
        <v>609</v>
      </c>
      <c r="D43">
        <v>29393.41</v>
      </c>
      <c r="E43">
        <v>7271.03</v>
      </c>
      <c r="F43">
        <v>36664.44</v>
      </c>
      <c r="G43">
        <v>57.63</v>
      </c>
    </row>
    <row r="44" spans="1:7" x14ac:dyDescent="0.3">
      <c r="A44" t="s">
        <v>49</v>
      </c>
      <c r="B44">
        <v>280</v>
      </c>
      <c r="C44">
        <v>380</v>
      </c>
      <c r="D44">
        <v>28378.47</v>
      </c>
      <c r="E44">
        <v>5456.06</v>
      </c>
      <c r="F44">
        <v>33834.53</v>
      </c>
      <c r="G44">
        <v>91.25</v>
      </c>
    </row>
    <row r="45" spans="1:7" x14ac:dyDescent="0.3">
      <c r="A45" t="s">
        <v>50</v>
      </c>
      <c r="B45">
        <v>194</v>
      </c>
      <c r="C45">
        <v>305</v>
      </c>
      <c r="D45">
        <v>25715.89</v>
      </c>
      <c r="E45">
        <v>5311.4</v>
      </c>
      <c r="F45">
        <v>31027.29</v>
      </c>
      <c r="G45">
        <v>108.05</v>
      </c>
    </row>
    <row r="46" spans="1:7" x14ac:dyDescent="0.3">
      <c r="A46" t="s">
        <v>51</v>
      </c>
      <c r="B46">
        <v>202</v>
      </c>
      <c r="C46">
        <v>230</v>
      </c>
      <c r="D46">
        <v>24202.639999999999</v>
      </c>
      <c r="E46">
        <v>4045.17</v>
      </c>
      <c r="F46">
        <v>28247.81</v>
      </c>
      <c r="G46">
        <v>115.8</v>
      </c>
    </row>
    <row r="47" spans="1:7" x14ac:dyDescent="0.3">
      <c r="A47" t="s">
        <v>52</v>
      </c>
      <c r="B47">
        <v>240</v>
      </c>
      <c r="C47">
        <v>293</v>
      </c>
      <c r="D47">
        <v>23562.77</v>
      </c>
      <c r="E47">
        <v>4918.87</v>
      </c>
      <c r="F47">
        <v>28481.64</v>
      </c>
      <c r="G47">
        <v>89.93</v>
      </c>
    </row>
    <row r="48" spans="1:7" x14ac:dyDescent="0.3">
      <c r="A48" t="s">
        <v>53</v>
      </c>
      <c r="B48">
        <v>297</v>
      </c>
      <c r="C48">
        <v>567</v>
      </c>
      <c r="D48">
        <v>22428.7</v>
      </c>
      <c r="E48">
        <v>5741.25</v>
      </c>
      <c r="F48">
        <v>28169.95</v>
      </c>
      <c r="G48">
        <v>59.18</v>
      </c>
    </row>
    <row r="49" spans="1:7" x14ac:dyDescent="0.3">
      <c r="A49" t="s">
        <v>54</v>
      </c>
      <c r="B49">
        <v>140</v>
      </c>
      <c r="C49">
        <v>307</v>
      </c>
      <c r="D49">
        <v>21509.23</v>
      </c>
      <c r="E49">
        <v>6507.82</v>
      </c>
      <c r="F49">
        <v>28017.05</v>
      </c>
      <c r="G49">
        <v>108.09</v>
      </c>
    </row>
    <row r="50" spans="1:7" x14ac:dyDescent="0.3">
      <c r="A50" t="s">
        <v>55</v>
      </c>
      <c r="B50">
        <v>95</v>
      </c>
      <c r="C50">
        <v>125</v>
      </c>
      <c r="D50">
        <v>20028.78</v>
      </c>
      <c r="E50">
        <v>4632.2299999999996</v>
      </c>
      <c r="F50">
        <v>24661.01</v>
      </c>
      <c r="G50">
        <v>183.75</v>
      </c>
    </row>
    <row r="51" spans="1:7" x14ac:dyDescent="0.3">
      <c r="A51" t="s">
        <v>56</v>
      </c>
      <c r="B51">
        <v>260</v>
      </c>
      <c r="C51">
        <v>275</v>
      </c>
      <c r="D51">
        <v>19096.060000000001</v>
      </c>
      <c r="E51">
        <v>4283.0600000000004</v>
      </c>
      <c r="F51">
        <v>23379.119999999999</v>
      </c>
      <c r="G51">
        <v>71.52</v>
      </c>
    </row>
    <row r="52" spans="1:7" x14ac:dyDescent="0.3">
      <c r="A52" t="s">
        <v>57</v>
      </c>
      <c r="B52">
        <v>97</v>
      </c>
      <c r="C52">
        <v>109</v>
      </c>
      <c r="D52">
        <v>15903.95</v>
      </c>
      <c r="E52">
        <v>2030.22</v>
      </c>
      <c r="F52">
        <v>17934.169999999998</v>
      </c>
      <c r="G52">
        <v>154.41</v>
      </c>
    </row>
    <row r="53" spans="1:7" x14ac:dyDescent="0.3">
      <c r="A53" t="s">
        <v>58</v>
      </c>
      <c r="B53">
        <v>227</v>
      </c>
      <c r="C53">
        <v>365</v>
      </c>
      <c r="D53">
        <v>15179.48</v>
      </c>
      <c r="E53">
        <v>4507.99</v>
      </c>
      <c r="F53">
        <v>19687.47</v>
      </c>
      <c r="G53">
        <v>54.6</v>
      </c>
    </row>
    <row r="54" spans="1:7" x14ac:dyDescent="0.3">
      <c r="A54" t="s">
        <v>59</v>
      </c>
      <c r="B54">
        <v>112</v>
      </c>
      <c r="C54">
        <v>156</v>
      </c>
      <c r="D54">
        <v>10797.82</v>
      </c>
      <c r="E54">
        <v>2152.41</v>
      </c>
      <c r="F54">
        <v>12950.23</v>
      </c>
      <c r="G54">
        <v>81.8</v>
      </c>
    </row>
    <row r="55" spans="1:7" x14ac:dyDescent="0.3">
      <c r="A55" t="s">
        <v>60</v>
      </c>
      <c r="B55">
        <v>121</v>
      </c>
      <c r="C55">
        <v>147</v>
      </c>
      <c r="D55">
        <v>9541.5499999999993</v>
      </c>
      <c r="E55">
        <v>1916.19</v>
      </c>
      <c r="F55">
        <v>11457.74</v>
      </c>
      <c r="G55">
        <v>72.84</v>
      </c>
    </row>
    <row r="56" spans="1:7" x14ac:dyDescent="0.3">
      <c r="A56" t="s">
        <v>61</v>
      </c>
      <c r="B56">
        <v>128</v>
      </c>
      <c r="C56">
        <v>202</v>
      </c>
      <c r="D56">
        <v>8800.82</v>
      </c>
      <c r="E56">
        <v>3229.3</v>
      </c>
      <c r="F56">
        <v>12030.12</v>
      </c>
      <c r="G56">
        <v>57.52</v>
      </c>
    </row>
    <row r="57" spans="1:7" x14ac:dyDescent="0.3">
      <c r="A57" t="s">
        <v>62</v>
      </c>
      <c r="B57">
        <v>79</v>
      </c>
      <c r="C57">
        <v>89</v>
      </c>
      <c r="D57">
        <v>7528.41</v>
      </c>
      <c r="E57">
        <v>1226.2</v>
      </c>
      <c r="F57">
        <v>8754.61</v>
      </c>
      <c r="G57">
        <v>90.7</v>
      </c>
    </row>
    <row r="58" spans="1:7" x14ac:dyDescent="0.3">
      <c r="A58" t="s">
        <v>63</v>
      </c>
      <c r="B58">
        <v>65</v>
      </c>
      <c r="C58">
        <v>82</v>
      </c>
      <c r="D58">
        <v>6933.46</v>
      </c>
      <c r="E58">
        <v>1256.2</v>
      </c>
      <c r="F58">
        <v>8189.66</v>
      </c>
      <c r="G58">
        <v>96.3</v>
      </c>
    </row>
    <row r="59" spans="1:7" x14ac:dyDescent="0.3">
      <c r="A59" t="s">
        <v>64</v>
      </c>
      <c r="B59">
        <v>38</v>
      </c>
      <c r="C59">
        <v>39</v>
      </c>
      <c r="D59">
        <v>6034.35</v>
      </c>
      <c r="E59">
        <v>690.51</v>
      </c>
      <c r="F59">
        <v>6724.86</v>
      </c>
      <c r="G59">
        <v>158.80000000000001</v>
      </c>
    </row>
    <row r="60" spans="1:7" x14ac:dyDescent="0.3">
      <c r="A60" t="s">
        <v>65</v>
      </c>
      <c r="B60">
        <v>59</v>
      </c>
      <c r="C60">
        <v>70</v>
      </c>
      <c r="D60">
        <v>5999.39</v>
      </c>
      <c r="E60">
        <v>1288.74</v>
      </c>
      <c r="F60">
        <v>7288.13</v>
      </c>
      <c r="G60">
        <v>93.74</v>
      </c>
    </row>
    <row r="61" spans="1:7" x14ac:dyDescent="0.3">
      <c r="A61" t="s">
        <v>66</v>
      </c>
      <c r="B61">
        <v>53</v>
      </c>
      <c r="C61">
        <v>68</v>
      </c>
      <c r="D61">
        <v>4639.8500000000004</v>
      </c>
      <c r="E61">
        <v>769.85</v>
      </c>
      <c r="F61">
        <v>5409.7</v>
      </c>
      <c r="G61">
        <v>77.33</v>
      </c>
    </row>
    <row r="62" spans="1:7" x14ac:dyDescent="0.3">
      <c r="A62" t="s">
        <v>67</v>
      </c>
      <c r="B62">
        <v>39</v>
      </c>
      <c r="C62">
        <v>47</v>
      </c>
      <c r="D62">
        <v>4485.18</v>
      </c>
      <c r="E62">
        <v>827.97</v>
      </c>
      <c r="F62">
        <v>5313.15</v>
      </c>
      <c r="G62">
        <v>104.31</v>
      </c>
    </row>
    <row r="63" spans="1:7" x14ac:dyDescent="0.3">
      <c r="A63" t="s">
        <v>68</v>
      </c>
      <c r="B63">
        <v>38</v>
      </c>
      <c r="C63">
        <v>38</v>
      </c>
      <c r="D63">
        <v>4368.08</v>
      </c>
      <c r="E63">
        <v>1630.46</v>
      </c>
      <c r="F63">
        <v>5998.54</v>
      </c>
      <c r="G63">
        <v>114.95</v>
      </c>
    </row>
    <row r="64" spans="1:7" x14ac:dyDescent="0.3">
      <c r="A64" t="s">
        <v>69</v>
      </c>
      <c r="B64">
        <v>14</v>
      </c>
      <c r="C64">
        <v>16</v>
      </c>
      <c r="D64">
        <v>3968.53</v>
      </c>
      <c r="E64">
        <v>309.76</v>
      </c>
      <c r="F64">
        <v>4278.29</v>
      </c>
      <c r="G64">
        <v>264.57</v>
      </c>
    </row>
    <row r="65" spans="1:7" x14ac:dyDescent="0.3">
      <c r="A65" t="s">
        <v>70</v>
      </c>
      <c r="B65">
        <v>39</v>
      </c>
      <c r="C65">
        <v>66</v>
      </c>
      <c r="D65">
        <v>2803.64</v>
      </c>
      <c r="E65">
        <v>621.75</v>
      </c>
      <c r="F65">
        <v>3425.39</v>
      </c>
      <c r="G65">
        <v>58.41</v>
      </c>
    </row>
    <row r="66" spans="1:7" x14ac:dyDescent="0.3">
      <c r="A66" t="s">
        <v>71</v>
      </c>
      <c r="B66">
        <v>27</v>
      </c>
      <c r="C66">
        <v>38</v>
      </c>
      <c r="D66">
        <v>2119.5100000000002</v>
      </c>
      <c r="E66">
        <v>578.13</v>
      </c>
      <c r="F66">
        <v>2697.64</v>
      </c>
      <c r="G66">
        <v>70.650000000000006</v>
      </c>
    </row>
    <row r="67" spans="1:7" x14ac:dyDescent="0.3">
      <c r="A67" t="s">
        <v>72</v>
      </c>
      <c r="B67">
        <v>13</v>
      </c>
      <c r="C67">
        <v>16</v>
      </c>
      <c r="D67">
        <v>2054.9899999999998</v>
      </c>
      <c r="E67">
        <v>333.55</v>
      </c>
      <c r="F67">
        <v>2388.54</v>
      </c>
      <c r="G67">
        <v>146.78</v>
      </c>
    </row>
    <row r="68" spans="1:7" x14ac:dyDescent="0.3">
      <c r="A68" t="s">
        <v>73</v>
      </c>
      <c r="B68">
        <v>23</v>
      </c>
      <c r="C68">
        <v>26</v>
      </c>
      <c r="D68">
        <v>1814.01</v>
      </c>
      <c r="E68">
        <v>370.13</v>
      </c>
      <c r="F68">
        <v>2184.14</v>
      </c>
      <c r="G68">
        <v>75.58</v>
      </c>
    </row>
    <row r="69" spans="1:7" x14ac:dyDescent="0.3">
      <c r="A69" t="s">
        <v>74</v>
      </c>
      <c r="B69">
        <v>27</v>
      </c>
      <c r="C69">
        <v>66</v>
      </c>
      <c r="D69">
        <v>1567.59</v>
      </c>
      <c r="E69">
        <v>573.67999999999995</v>
      </c>
      <c r="F69">
        <v>2141.27</v>
      </c>
      <c r="G69">
        <v>40.19</v>
      </c>
    </row>
    <row r="70" spans="1:7" x14ac:dyDescent="0.3">
      <c r="A70" t="s">
        <v>75</v>
      </c>
      <c r="B70">
        <v>8</v>
      </c>
      <c r="C70">
        <v>11</v>
      </c>
      <c r="D70">
        <v>1545.95</v>
      </c>
      <c r="E70">
        <v>133.57</v>
      </c>
      <c r="F70">
        <v>1679.52</v>
      </c>
      <c r="G70">
        <v>171.77</v>
      </c>
    </row>
    <row r="71" spans="1:7" x14ac:dyDescent="0.3">
      <c r="A71" t="s">
        <v>76</v>
      </c>
      <c r="B71">
        <v>29</v>
      </c>
      <c r="C71">
        <v>37</v>
      </c>
      <c r="D71">
        <v>1110.04</v>
      </c>
      <c r="E71">
        <v>488.87</v>
      </c>
      <c r="F71">
        <v>1598.91</v>
      </c>
      <c r="G71">
        <v>33.64</v>
      </c>
    </row>
    <row r="72" spans="1:7" x14ac:dyDescent="0.3">
      <c r="A72" t="s">
        <v>77</v>
      </c>
      <c r="B72">
        <v>24</v>
      </c>
      <c r="C72">
        <v>39</v>
      </c>
      <c r="D72">
        <v>760.27</v>
      </c>
      <c r="E72">
        <v>410.31</v>
      </c>
      <c r="F72">
        <v>1170.58</v>
      </c>
      <c r="G72">
        <v>25.34</v>
      </c>
    </row>
    <row r="73" spans="1:7" x14ac:dyDescent="0.3">
      <c r="A73" t="s">
        <v>78</v>
      </c>
      <c r="B73">
        <v>12</v>
      </c>
      <c r="C73">
        <v>16</v>
      </c>
      <c r="D73">
        <v>730</v>
      </c>
      <c r="E73">
        <v>224.99</v>
      </c>
      <c r="F73">
        <v>954.99</v>
      </c>
      <c r="G73">
        <v>52.14</v>
      </c>
    </row>
    <row r="74" spans="1:7" x14ac:dyDescent="0.3">
      <c r="A74" t="s">
        <v>79</v>
      </c>
      <c r="B74">
        <v>8</v>
      </c>
      <c r="C74">
        <v>8</v>
      </c>
      <c r="D74">
        <v>569.85</v>
      </c>
      <c r="E74">
        <v>95.51</v>
      </c>
      <c r="F74">
        <v>665.36</v>
      </c>
      <c r="G74">
        <v>71.23</v>
      </c>
    </row>
    <row r="75" spans="1:7" x14ac:dyDescent="0.3">
      <c r="A75" t="s">
        <v>80</v>
      </c>
      <c r="B75">
        <v>2</v>
      </c>
      <c r="C75">
        <v>2</v>
      </c>
      <c r="D75">
        <v>283.29000000000002</v>
      </c>
      <c r="E75">
        <v>41.22</v>
      </c>
      <c r="F75">
        <v>324.51</v>
      </c>
      <c r="G75">
        <v>141.63999999999999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AB41-9E25-42AE-B265-2544EB3C3C97}">
  <dimension ref="A1:E24"/>
  <sheetViews>
    <sheetView workbookViewId="0">
      <selection activeCell="D14" sqref="D14"/>
    </sheetView>
  </sheetViews>
  <sheetFormatPr defaultRowHeight="14.4" x14ac:dyDescent="0.3"/>
  <cols>
    <col min="1" max="1" width="14.44140625" bestFit="1" customWidth="1"/>
    <col min="2" max="2" width="13.44140625" bestFit="1" customWidth="1"/>
    <col min="3" max="3" width="18.88671875" bestFit="1" customWidth="1"/>
    <col min="4" max="4" width="18.33203125" bestFit="1" customWidth="1"/>
    <col min="5" max="5" width="17.44140625" bestFit="1" customWidth="1"/>
  </cols>
  <sheetData>
    <row r="1" spans="1:5" x14ac:dyDescent="0.3">
      <c r="A1" t="s">
        <v>81</v>
      </c>
      <c r="B1" t="s">
        <v>1</v>
      </c>
      <c r="C1" t="s">
        <v>82</v>
      </c>
      <c r="D1" t="s">
        <v>83</v>
      </c>
      <c r="E1" t="s">
        <v>84</v>
      </c>
    </row>
    <row r="2" spans="1:5" x14ac:dyDescent="0.3">
      <c r="A2" s="1">
        <v>42614</v>
      </c>
      <c r="B2">
        <v>1</v>
      </c>
      <c r="C2">
        <v>1</v>
      </c>
      <c r="D2">
        <v>134.97</v>
      </c>
      <c r="E2">
        <v>44.99</v>
      </c>
    </row>
    <row r="3" spans="1:5" x14ac:dyDescent="0.3">
      <c r="A3" s="1">
        <v>42644</v>
      </c>
      <c r="B3">
        <v>265</v>
      </c>
      <c r="C3">
        <v>265</v>
      </c>
      <c r="D3">
        <v>40325.11</v>
      </c>
      <c r="E3">
        <v>128.83000000000001</v>
      </c>
    </row>
    <row r="4" spans="1:5" x14ac:dyDescent="0.3">
      <c r="A4" s="1">
        <v>42705</v>
      </c>
      <c r="B4">
        <v>1</v>
      </c>
      <c r="C4">
        <v>1</v>
      </c>
      <c r="D4">
        <v>10.9</v>
      </c>
      <c r="E4">
        <v>10.9</v>
      </c>
    </row>
    <row r="5" spans="1:5" x14ac:dyDescent="0.3">
      <c r="A5" s="1">
        <v>42736</v>
      </c>
      <c r="B5">
        <v>750</v>
      </c>
      <c r="C5">
        <v>750</v>
      </c>
      <c r="D5">
        <v>111798.36</v>
      </c>
      <c r="E5">
        <v>122.45</v>
      </c>
    </row>
    <row r="6" spans="1:5" x14ac:dyDescent="0.3">
      <c r="A6" s="1">
        <v>42767</v>
      </c>
      <c r="B6">
        <v>1653</v>
      </c>
      <c r="C6">
        <v>1653</v>
      </c>
      <c r="D6">
        <v>234223.4</v>
      </c>
      <c r="E6">
        <v>126.06</v>
      </c>
    </row>
    <row r="7" spans="1:5" x14ac:dyDescent="0.3">
      <c r="A7" s="1">
        <v>42795</v>
      </c>
      <c r="B7">
        <v>2546</v>
      </c>
      <c r="C7">
        <v>2546</v>
      </c>
      <c r="D7">
        <v>359198.85</v>
      </c>
      <c r="E7">
        <v>123.99</v>
      </c>
    </row>
    <row r="8" spans="1:5" x14ac:dyDescent="0.3">
      <c r="A8" s="1">
        <v>42826</v>
      </c>
      <c r="B8">
        <v>2303</v>
      </c>
      <c r="C8">
        <v>2303</v>
      </c>
      <c r="D8">
        <v>340669.68</v>
      </c>
      <c r="E8">
        <v>132.61000000000001</v>
      </c>
    </row>
    <row r="9" spans="1:5" x14ac:dyDescent="0.3">
      <c r="A9" s="1">
        <v>42856</v>
      </c>
      <c r="B9">
        <v>3546</v>
      </c>
      <c r="C9">
        <v>3546</v>
      </c>
      <c r="D9">
        <v>489338.25</v>
      </c>
      <c r="E9">
        <v>122.21</v>
      </c>
    </row>
    <row r="10" spans="1:5" x14ac:dyDescent="0.3">
      <c r="A10" s="1">
        <v>42887</v>
      </c>
      <c r="B10">
        <v>3135</v>
      </c>
      <c r="C10">
        <v>3135</v>
      </c>
      <c r="D10">
        <v>421923.37</v>
      </c>
      <c r="E10">
        <v>120.93</v>
      </c>
    </row>
    <row r="11" spans="1:5" x14ac:dyDescent="0.3">
      <c r="A11" s="1">
        <v>42917</v>
      </c>
      <c r="B11">
        <v>3872</v>
      </c>
      <c r="C11">
        <v>3872</v>
      </c>
      <c r="D11">
        <v>481604.52</v>
      </c>
      <c r="E11">
        <v>109.06</v>
      </c>
    </row>
    <row r="12" spans="1:5" x14ac:dyDescent="0.3">
      <c r="A12" s="1">
        <v>42948</v>
      </c>
      <c r="B12">
        <v>4193</v>
      </c>
      <c r="C12">
        <v>4193</v>
      </c>
      <c r="D12">
        <v>554699.69999999995</v>
      </c>
      <c r="E12">
        <v>115.63</v>
      </c>
    </row>
    <row r="13" spans="1:5" x14ac:dyDescent="0.3">
      <c r="A13" s="1">
        <v>42979</v>
      </c>
      <c r="B13">
        <v>4150</v>
      </c>
      <c r="C13">
        <v>4150</v>
      </c>
      <c r="D13">
        <v>607399.67000000004</v>
      </c>
      <c r="E13">
        <v>128.22</v>
      </c>
    </row>
    <row r="14" spans="1:5" x14ac:dyDescent="0.3">
      <c r="A14" s="1">
        <v>43009</v>
      </c>
      <c r="B14">
        <v>4478</v>
      </c>
      <c r="C14">
        <v>4478</v>
      </c>
      <c r="D14">
        <v>648247.65</v>
      </c>
      <c r="E14">
        <v>124.33</v>
      </c>
    </row>
    <row r="15" spans="1:5" x14ac:dyDescent="0.3">
      <c r="A15" s="1">
        <v>43040</v>
      </c>
      <c r="B15">
        <v>7289</v>
      </c>
      <c r="C15">
        <v>7289</v>
      </c>
      <c r="D15">
        <v>987765.37</v>
      </c>
      <c r="E15">
        <v>116.55</v>
      </c>
    </row>
    <row r="16" spans="1:5" x14ac:dyDescent="0.3">
      <c r="A16" s="1">
        <v>43070</v>
      </c>
      <c r="B16">
        <v>5513</v>
      </c>
      <c r="C16">
        <v>5513</v>
      </c>
      <c r="D16">
        <v>726033.19</v>
      </c>
      <c r="E16">
        <v>117.35</v>
      </c>
    </row>
    <row r="17" spans="1:5" x14ac:dyDescent="0.3">
      <c r="A17" s="1">
        <v>43101</v>
      </c>
      <c r="B17">
        <v>7069</v>
      </c>
      <c r="C17">
        <v>7069</v>
      </c>
      <c r="D17">
        <v>924645</v>
      </c>
      <c r="E17">
        <v>115.05</v>
      </c>
    </row>
    <row r="18" spans="1:5" x14ac:dyDescent="0.3">
      <c r="A18" s="1">
        <v>43132</v>
      </c>
      <c r="B18">
        <v>6555</v>
      </c>
      <c r="C18">
        <v>6555</v>
      </c>
      <c r="D18">
        <v>826437.13</v>
      </c>
      <c r="E18">
        <v>109.93</v>
      </c>
    </row>
    <row r="19" spans="1:5" x14ac:dyDescent="0.3">
      <c r="A19" s="1">
        <v>43160</v>
      </c>
      <c r="B19">
        <v>7003</v>
      </c>
      <c r="C19">
        <v>7003</v>
      </c>
      <c r="D19">
        <v>953356.25</v>
      </c>
      <c r="E19">
        <v>118.92</v>
      </c>
    </row>
    <row r="20" spans="1:5" x14ac:dyDescent="0.3">
      <c r="A20" s="1">
        <v>43191</v>
      </c>
      <c r="B20">
        <v>6798</v>
      </c>
      <c r="C20">
        <v>6798</v>
      </c>
      <c r="D20">
        <v>973534.09</v>
      </c>
      <c r="E20">
        <v>124.38</v>
      </c>
    </row>
    <row r="21" spans="1:5" x14ac:dyDescent="0.3">
      <c r="A21" s="1">
        <v>43221</v>
      </c>
      <c r="B21">
        <v>6749</v>
      </c>
      <c r="C21">
        <v>6749</v>
      </c>
      <c r="D21">
        <v>977544.69</v>
      </c>
      <c r="E21">
        <v>125.17</v>
      </c>
    </row>
    <row r="22" spans="1:5" x14ac:dyDescent="0.3">
      <c r="A22" s="1">
        <v>43252</v>
      </c>
      <c r="B22">
        <v>6099</v>
      </c>
      <c r="C22">
        <v>6099</v>
      </c>
      <c r="D22">
        <v>856077.86</v>
      </c>
      <c r="E22">
        <v>122.12</v>
      </c>
    </row>
    <row r="23" spans="1:5" x14ac:dyDescent="0.3">
      <c r="A23" s="1">
        <v>43282</v>
      </c>
      <c r="B23">
        <v>6159</v>
      </c>
      <c r="C23">
        <v>6159</v>
      </c>
      <c r="D23">
        <v>867953.46</v>
      </c>
      <c r="E23">
        <v>124.65</v>
      </c>
    </row>
    <row r="24" spans="1:5" x14ac:dyDescent="0.3">
      <c r="A24" s="1">
        <v>43313</v>
      </c>
      <c r="B24">
        <v>6351</v>
      </c>
      <c r="C24">
        <v>6351</v>
      </c>
      <c r="D24">
        <v>838576.64000000001</v>
      </c>
      <c r="E24">
        <v>117.41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7FBE-9B2E-4FCF-883E-C8D59294F914}">
  <dimension ref="A1:F5"/>
  <sheetViews>
    <sheetView workbookViewId="0">
      <selection activeCell="C1" activeCellId="1" sqref="A1:A5 C1:C5"/>
    </sheetView>
  </sheetViews>
  <sheetFormatPr defaultRowHeight="14.4" x14ac:dyDescent="0.3"/>
  <cols>
    <col min="1" max="1" width="15.6640625" bestFit="1" customWidth="1"/>
    <col min="2" max="2" width="13.44140625" bestFit="1" customWidth="1"/>
    <col min="3" max="3" width="21.44140625" bestFit="1" customWidth="1"/>
    <col min="4" max="4" width="20.5546875" bestFit="1" customWidth="1"/>
    <col min="5" max="5" width="17.44140625" bestFit="1" customWidth="1"/>
    <col min="6" max="6" width="19.5546875" bestFit="1" customWidth="1"/>
  </cols>
  <sheetData>
    <row r="1" spans="1:6" x14ac:dyDescent="0.3">
      <c r="A1" t="s">
        <v>85</v>
      </c>
      <c r="B1" t="s">
        <v>1</v>
      </c>
      <c r="C1" t="s">
        <v>86</v>
      </c>
      <c r="D1" t="s">
        <v>87</v>
      </c>
      <c r="E1" t="s">
        <v>88</v>
      </c>
      <c r="F1" t="s">
        <v>89</v>
      </c>
    </row>
    <row r="2" spans="1:6" x14ac:dyDescent="0.3">
      <c r="A2" t="s">
        <v>90</v>
      </c>
      <c r="B2">
        <v>74304</v>
      </c>
      <c r="C2">
        <v>12101094.880000001</v>
      </c>
      <c r="D2">
        <v>162.24</v>
      </c>
      <c r="E2">
        <v>3</v>
      </c>
      <c r="F2">
        <v>78.459999999999994</v>
      </c>
    </row>
    <row r="3" spans="1:6" x14ac:dyDescent="0.3">
      <c r="A3" t="s">
        <v>91</v>
      </c>
      <c r="B3">
        <v>19191</v>
      </c>
      <c r="C3">
        <v>2769932.58</v>
      </c>
      <c r="D3">
        <v>144.33000000000001</v>
      </c>
      <c r="E3">
        <v>1</v>
      </c>
      <c r="F3">
        <v>17.96</v>
      </c>
    </row>
    <row r="4" spans="1:6" x14ac:dyDescent="0.3">
      <c r="A4" t="s">
        <v>92</v>
      </c>
      <c r="B4">
        <v>3679</v>
      </c>
      <c r="C4">
        <v>343013.19</v>
      </c>
      <c r="D4">
        <v>62.45</v>
      </c>
      <c r="E4">
        <v>1</v>
      </c>
      <c r="F4">
        <v>2.2200000000000002</v>
      </c>
    </row>
    <row r="5" spans="1:6" x14ac:dyDescent="0.3">
      <c r="A5" t="s">
        <v>93</v>
      </c>
      <c r="B5">
        <v>1485</v>
      </c>
      <c r="C5">
        <v>208421.12</v>
      </c>
      <c r="D5">
        <v>140.26</v>
      </c>
      <c r="E5">
        <v>1</v>
      </c>
      <c r="F5">
        <v>1.35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5E0C-9D0A-4AB7-B2C4-097B098D97D0}">
  <dimension ref="A1:F4"/>
  <sheetViews>
    <sheetView workbookViewId="0">
      <selection activeCell="E24" sqref="E24"/>
    </sheetView>
  </sheetViews>
  <sheetFormatPr defaultRowHeight="14.4" x14ac:dyDescent="0.3"/>
  <cols>
    <col min="1" max="1" width="19.21875" bestFit="1" customWidth="1"/>
    <col min="2" max="2" width="13.44140625" bestFit="1" customWidth="1"/>
    <col min="3" max="3" width="18.33203125" bestFit="1" customWidth="1"/>
    <col min="4" max="4" width="18.88671875" bestFit="1" customWidth="1"/>
    <col min="5" max="5" width="16.77734375" bestFit="1" customWidth="1"/>
    <col min="6" max="6" width="15" bestFit="1" customWidth="1"/>
  </cols>
  <sheetData>
    <row r="1" spans="1:6" x14ac:dyDescent="0.3">
      <c r="A1" t="s">
        <v>94</v>
      </c>
      <c r="B1" t="s">
        <v>1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">
      <c r="A2" t="s">
        <v>99</v>
      </c>
      <c r="B2">
        <v>89134</v>
      </c>
      <c r="C2">
        <v>4.29</v>
      </c>
      <c r="D2">
        <v>10</v>
      </c>
      <c r="E2">
        <v>-13</v>
      </c>
      <c r="F2">
        <v>91.89</v>
      </c>
    </row>
    <row r="3" spans="1:6" x14ac:dyDescent="0.3">
      <c r="A3" t="s">
        <v>100</v>
      </c>
      <c r="B3">
        <v>4987</v>
      </c>
      <c r="C3">
        <v>3.06</v>
      </c>
      <c r="D3">
        <v>24</v>
      </c>
      <c r="E3">
        <v>2</v>
      </c>
      <c r="F3">
        <v>5.14</v>
      </c>
    </row>
    <row r="4" spans="1:6" x14ac:dyDescent="0.3">
      <c r="A4" t="s">
        <v>101</v>
      </c>
      <c r="B4">
        <v>2878</v>
      </c>
      <c r="C4">
        <v>1.7</v>
      </c>
      <c r="D4">
        <v>44</v>
      </c>
      <c r="E4">
        <v>19</v>
      </c>
      <c r="F4">
        <v>2.97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8FAC-8E16-4989-AEBD-F9159C60462E}">
  <dimension ref="A1:F28"/>
  <sheetViews>
    <sheetView workbookViewId="0">
      <selection activeCell="B6" sqref="B6"/>
    </sheetView>
  </sheetViews>
  <sheetFormatPr defaultRowHeight="14.4" x14ac:dyDescent="0.3"/>
  <cols>
    <col min="1" max="1" width="16.33203125" bestFit="1" customWidth="1"/>
    <col min="2" max="2" width="18.88671875" bestFit="1" customWidth="1"/>
    <col min="3" max="3" width="13.44140625" bestFit="1" customWidth="1"/>
    <col min="4" max="4" width="15" bestFit="1" customWidth="1"/>
    <col min="5" max="5" width="17.44140625" bestFit="1" customWidth="1"/>
    <col min="6" max="6" width="18.33203125" bestFit="1" customWidth="1"/>
  </cols>
  <sheetData>
    <row r="1" spans="1:6" x14ac:dyDescent="0.3">
      <c r="A1" t="s">
        <v>102</v>
      </c>
      <c r="B1" t="s">
        <v>82</v>
      </c>
      <c r="C1" t="s">
        <v>1</v>
      </c>
      <c r="D1" t="s">
        <v>3</v>
      </c>
      <c r="E1" t="s">
        <v>84</v>
      </c>
      <c r="F1" t="s">
        <v>95</v>
      </c>
    </row>
    <row r="2" spans="1:6" x14ac:dyDescent="0.3">
      <c r="A2" t="s">
        <v>103</v>
      </c>
      <c r="B2">
        <v>39156</v>
      </c>
      <c r="C2">
        <v>40501</v>
      </c>
      <c r="D2">
        <v>5093379.5</v>
      </c>
      <c r="E2">
        <v>109.03</v>
      </c>
      <c r="F2">
        <v>4.18</v>
      </c>
    </row>
    <row r="3" spans="1:6" x14ac:dyDescent="0.3">
      <c r="A3" t="s">
        <v>104</v>
      </c>
      <c r="B3">
        <v>11917</v>
      </c>
      <c r="C3">
        <v>12350</v>
      </c>
      <c r="D3">
        <v>1766256.97</v>
      </c>
      <c r="E3">
        <v>124.17</v>
      </c>
      <c r="F3">
        <v>3.87</v>
      </c>
    </row>
    <row r="4" spans="1:6" x14ac:dyDescent="0.3">
      <c r="A4" t="s">
        <v>105</v>
      </c>
      <c r="B4">
        <v>11001</v>
      </c>
      <c r="C4">
        <v>11354</v>
      </c>
      <c r="D4">
        <v>1558668.28</v>
      </c>
      <c r="E4">
        <v>119.94</v>
      </c>
      <c r="F4">
        <v>4.12</v>
      </c>
    </row>
    <row r="5" spans="1:6" x14ac:dyDescent="0.3">
      <c r="A5" t="s">
        <v>106</v>
      </c>
      <c r="B5">
        <v>5168</v>
      </c>
      <c r="C5">
        <v>5345</v>
      </c>
      <c r="D5">
        <v>732420.8</v>
      </c>
      <c r="E5">
        <v>118.48</v>
      </c>
      <c r="F5">
        <v>4.09</v>
      </c>
    </row>
    <row r="6" spans="1:6" x14ac:dyDescent="0.3">
      <c r="A6" t="s">
        <v>107</v>
      </c>
      <c r="B6">
        <v>4769</v>
      </c>
      <c r="C6">
        <v>4923</v>
      </c>
      <c r="D6">
        <v>668891.26</v>
      </c>
      <c r="E6">
        <v>117.91</v>
      </c>
      <c r="F6">
        <v>4.1399999999999997</v>
      </c>
    </row>
    <row r="7" spans="1:6" x14ac:dyDescent="0.3">
      <c r="A7" t="s">
        <v>108</v>
      </c>
      <c r="B7">
        <v>3449</v>
      </c>
      <c r="C7">
        <v>3546</v>
      </c>
      <c r="D7">
        <v>508578.9</v>
      </c>
      <c r="E7">
        <v>123.68</v>
      </c>
      <c r="F7">
        <v>4.05</v>
      </c>
    </row>
    <row r="8" spans="1:6" x14ac:dyDescent="0.3">
      <c r="A8" t="s">
        <v>109</v>
      </c>
      <c r="B8">
        <v>3158</v>
      </c>
      <c r="C8">
        <v>3256</v>
      </c>
      <c r="D8">
        <v>495416.93</v>
      </c>
      <c r="E8">
        <v>133.79</v>
      </c>
      <c r="F8">
        <v>3.86</v>
      </c>
    </row>
    <row r="9" spans="1:6" x14ac:dyDescent="0.3">
      <c r="A9" t="s">
        <v>110</v>
      </c>
      <c r="B9">
        <v>2019</v>
      </c>
      <c r="C9">
        <v>2080</v>
      </c>
      <c r="D9">
        <v>298492.74</v>
      </c>
      <c r="E9">
        <v>125.36</v>
      </c>
      <c r="F9">
        <v>4.0599999999999996</v>
      </c>
    </row>
    <row r="10" spans="1:6" x14ac:dyDescent="0.3">
      <c r="A10" t="s">
        <v>111</v>
      </c>
      <c r="B10">
        <v>1895</v>
      </c>
      <c r="C10">
        <v>1957</v>
      </c>
      <c r="D10">
        <v>285780.24</v>
      </c>
      <c r="E10">
        <v>124.41</v>
      </c>
      <c r="F10">
        <v>4.04</v>
      </c>
    </row>
    <row r="11" spans="1:6" x14ac:dyDescent="0.3">
      <c r="A11" t="s">
        <v>112</v>
      </c>
      <c r="B11">
        <v>1928</v>
      </c>
      <c r="C11">
        <v>1995</v>
      </c>
      <c r="D11">
        <v>269230.52</v>
      </c>
      <c r="E11">
        <v>120.41</v>
      </c>
      <c r="F11">
        <v>4.0199999999999996</v>
      </c>
    </row>
    <row r="12" spans="1:6" x14ac:dyDescent="0.3">
      <c r="A12" t="s">
        <v>113</v>
      </c>
      <c r="B12">
        <v>1551</v>
      </c>
      <c r="C12">
        <v>1593</v>
      </c>
      <c r="D12">
        <v>252903.1</v>
      </c>
      <c r="E12">
        <v>143.86000000000001</v>
      </c>
      <c r="F12">
        <v>4.0199999999999996</v>
      </c>
    </row>
    <row r="13" spans="1:6" x14ac:dyDescent="0.3">
      <c r="A13" t="s">
        <v>114</v>
      </c>
      <c r="B13">
        <v>1258</v>
      </c>
      <c r="C13">
        <v>1279</v>
      </c>
      <c r="D13">
        <v>220434.27</v>
      </c>
      <c r="E13">
        <v>154.04</v>
      </c>
      <c r="F13">
        <v>3.87</v>
      </c>
    </row>
    <row r="14" spans="1:6" x14ac:dyDescent="0.3">
      <c r="A14" t="s">
        <v>115</v>
      </c>
      <c r="B14">
        <v>922</v>
      </c>
      <c r="C14">
        <v>946</v>
      </c>
      <c r="D14">
        <v>174952.64</v>
      </c>
      <c r="E14">
        <v>164.89</v>
      </c>
      <c r="F14">
        <v>3.84</v>
      </c>
    </row>
    <row r="15" spans="1:6" x14ac:dyDescent="0.3">
      <c r="A15" t="s">
        <v>116</v>
      </c>
      <c r="B15">
        <v>856</v>
      </c>
      <c r="C15">
        <v>886</v>
      </c>
      <c r="D15">
        <v>152479.32</v>
      </c>
      <c r="E15">
        <v>146.61000000000001</v>
      </c>
      <c r="F15">
        <v>4.01</v>
      </c>
    </row>
    <row r="16" spans="1:6" x14ac:dyDescent="0.3">
      <c r="A16" t="s">
        <v>117</v>
      </c>
      <c r="B16">
        <v>700</v>
      </c>
      <c r="C16">
        <v>717</v>
      </c>
      <c r="D16">
        <v>117205.26</v>
      </c>
      <c r="E16">
        <v>145.6</v>
      </c>
      <c r="F16">
        <v>3.77</v>
      </c>
    </row>
    <row r="17" spans="1:6" x14ac:dyDescent="0.3">
      <c r="A17" t="s">
        <v>118</v>
      </c>
      <c r="B17">
        <v>681</v>
      </c>
      <c r="C17">
        <v>701</v>
      </c>
      <c r="D17">
        <v>116835.04</v>
      </c>
      <c r="E17">
        <v>141.96</v>
      </c>
      <c r="F17">
        <v>4.07</v>
      </c>
    </row>
    <row r="18" spans="1:6" x14ac:dyDescent="0.3">
      <c r="A18" t="s">
        <v>119</v>
      </c>
      <c r="B18">
        <v>504</v>
      </c>
      <c r="C18">
        <v>517</v>
      </c>
      <c r="D18">
        <v>112676.72</v>
      </c>
      <c r="E18">
        <v>191.95</v>
      </c>
      <c r="F18">
        <v>4.04</v>
      </c>
    </row>
    <row r="19" spans="1:6" x14ac:dyDescent="0.3">
      <c r="A19" t="s">
        <v>120</v>
      </c>
      <c r="B19">
        <v>464</v>
      </c>
      <c r="C19">
        <v>476</v>
      </c>
      <c r="D19">
        <v>84781</v>
      </c>
      <c r="E19">
        <v>161.80000000000001</v>
      </c>
      <c r="F19">
        <v>3.96</v>
      </c>
    </row>
    <row r="20" spans="1:6" x14ac:dyDescent="0.3">
      <c r="A20" t="s">
        <v>121</v>
      </c>
      <c r="B20">
        <v>464</v>
      </c>
      <c r="C20">
        <v>474</v>
      </c>
      <c r="D20">
        <v>82158.97</v>
      </c>
      <c r="E20">
        <v>157.09</v>
      </c>
      <c r="F20">
        <v>4.1100000000000003</v>
      </c>
    </row>
    <row r="21" spans="1:6" x14ac:dyDescent="0.3">
      <c r="A21" t="s">
        <v>122</v>
      </c>
      <c r="B21">
        <v>387</v>
      </c>
      <c r="C21">
        <v>397</v>
      </c>
      <c r="D21">
        <v>79059.679999999993</v>
      </c>
      <c r="E21">
        <v>183.43</v>
      </c>
      <c r="F21">
        <v>3.82</v>
      </c>
    </row>
    <row r="22" spans="1:6" x14ac:dyDescent="0.3">
      <c r="A22" t="s">
        <v>123</v>
      </c>
      <c r="B22">
        <v>329</v>
      </c>
      <c r="C22">
        <v>335</v>
      </c>
      <c r="D22">
        <v>56574.19</v>
      </c>
      <c r="E22">
        <v>150.86000000000001</v>
      </c>
      <c r="F22">
        <v>3.9</v>
      </c>
    </row>
    <row r="23" spans="1:6" x14ac:dyDescent="0.3">
      <c r="A23" t="s">
        <v>124</v>
      </c>
      <c r="B23">
        <v>267</v>
      </c>
      <c r="C23">
        <v>274</v>
      </c>
      <c r="D23">
        <v>48402.51</v>
      </c>
      <c r="E23">
        <v>156.13999999999999</v>
      </c>
      <c r="F23">
        <v>4.16</v>
      </c>
    </row>
    <row r="24" spans="1:6" x14ac:dyDescent="0.3">
      <c r="A24" t="s">
        <v>125</v>
      </c>
      <c r="B24">
        <v>231</v>
      </c>
      <c r="C24">
        <v>243</v>
      </c>
      <c r="D24">
        <v>45682.76</v>
      </c>
      <c r="E24">
        <v>167.34</v>
      </c>
      <c r="F24">
        <v>4.07</v>
      </c>
    </row>
    <row r="25" spans="1:6" x14ac:dyDescent="0.3">
      <c r="A25" t="s">
        <v>126</v>
      </c>
      <c r="B25">
        <v>140</v>
      </c>
      <c r="C25">
        <v>145</v>
      </c>
      <c r="D25">
        <v>22211.74</v>
      </c>
      <c r="E25">
        <v>135.44</v>
      </c>
      <c r="F25">
        <v>4.09</v>
      </c>
    </row>
    <row r="26" spans="1:6" x14ac:dyDescent="0.3">
      <c r="A26" t="s">
        <v>127</v>
      </c>
      <c r="B26">
        <v>76</v>
      </c>
      <c r="C26">
        <v>80</v>
      </c>
      <c r="D26">
        <v>15930.97</v>
      </c>
      <c r="E26">
        <v>175.07</v>
      </c>
      <c r="F26">
        <v>4.13</v>
      </c>
    </row>
    <row r="27" spans="1:6" x14ac:dyDescent="0.3">
      <c r="A27" t="s">
        <v>128</v>
      </c>
      <c r="B27">
        <v>66</v>
      </c>
      <c r="C27">
        <v>67</v>
      </c>
      <c r="D27">
        <v>13374.81</v>
      </c>
      <c r="E27">
        <v>165.12</v>
      </c>
      <c r="F27">
        <v>4.26</v>
      </c>
    </row>
    <row r="28" spans="1:6" x14ac:dyDescent="0.3">
      <c r="A28" t="s">
        <v>129</v>
      </c>
      <c r="B28">
        <v>40</v>
      </c>
      <c r="C28">
        <v>41</v>
      </c>
      <c r="D28">
        <v>7057.47</v>
      </c>
      <c r="E28">
        <v>153.41999999999999</v>
      </c>
      <c r="F28">
        <v>3.89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CB56-345F-4F70-8C8B-A8DA0FED1684}">
  <dimension ref="A1:D6"/>
  <sheetViews>
    <sheetView topLeftCell="B1" workbookViewId="0">
      <selection activeCell="E25" sqref="E25"/>
    </sheetView>
  </sheetViews>
  <sheetFormatPr defaultRowHeight="14.4" x14ac:dyDescent="0.3"/>
  <cols>
    <col min="1" max="1" width="14.21875" bestFit="1" customWidth="1"/>
    <col min="2" max="2" width="14.44140625" bestFit="1" customWidth="1"/>
    <col min="3" max="3" width="13.5546875" bestFit="1" customWidth="1"/>
    <col min="4" max="4" width="11.6640625" bestFit="1" customWidth="1"/>
  </cols>
  <sheetData>
    <row r="1" spans="1:4" x14ac:dyDescent="0.3">
      <c r="A1" t="s">
        <v>130</v>
      </c>
      <c r="B1" t="s">
        <v>131</v>
      </c>
      <c r="C1" t="s">
        <v>132</v>
      </c>
      <c r="D1" t="s">
        <v>133</v>
      </c>
    </row>
    <row r="2" spans="1:4" x14ac:dyDescent="0.3">
      <c r="A2">
        <v>1</v>
      </c>
      <c r="B2">
        <v>9406</v>
      </c>
      <c r="C2">
        <v>9.76</v>
      </c>
      <c r="D2" t="s">
        <v>136</v>
      </c>
    </row>
    <row r="3" spans="1:4" x14ac:dyDescent="0.3">
      <c r="A3">
        <v>2</v>
      </c>
      <c r="B3">
        <v>2941</v>
      </c>
      <c r="C3">
        <v>3.05</v>
      </c>
      <c r="D3" t="s">
        <v>136</v>
      </c>
    </row>
    <row r="4" spans="1:4" x14ac:dyDescent="0.3">
      <c r="A4">
        <v>3</v>
      </c>
      <c r="B4">
        <v>7961</v>
      </c>
      <c r="C4">
        <v>8.26</v>
      </c>
      <c r="D4" t="s">
        <v>135</v>
      </c>
    </row>
    <row r="5" spans="1:4" x14ac:dyDescent="0.3">
      <c r="A5">
        <v>4</v>
      </c>
      <c r="B5">
        <v>18987</v>
      </c>
      <c r="C5">
        <v>19.7</v>
      </c>
      <c r="D5" t="s">
        <v>134</v>
      </c>
    </row>
    <row r="6" spans="1:4" x14ac:dyDescent="0.3">
      <c r="A6">
        <v>5</v>
      </c>
      <c r="B6">
        <v>57066</v>
      </c>
      <c r="C6">
        <v>59.22</v>
      </c>
      <c r="D6" t="s">
        <v>134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5782-FF58-4B83-B3C5-2CD950BC775D}">
  <dimension ref="B1:I36"/>
  <sheetViews>
    <sheetView tabSelected="1" zoomScale="92" zoomScaleNormal="80" workbookViewId="0">
      <selection activeCell="B2" sqref="B2"/>
    </sheetView>
  </sheetViews>
  <sheetFormatPr defaultRowHeight="14.4" x14ac:dyDescent="0.3"/>
  <cols>
    <col min="2" max="2" width="27" customWidth="1"/>
    <col min="3" max="3" width="34.5546875" customWidth="1"/>
    <col min="4" max="4" width="23.6640625" customWidth="1"/>
    <col min="5" max="5" width="31.21875" customWidth="1"/>
    <col min="6" max="6" width="25.5546875" customWidth="1"/>
    <col min="7" max="7" width="23.77734375" customWidth="1"/>
    <col min="8" max="8" width="28" customWidth="1"/>
    <col min="9" max="9" width="17.77734375" customWidth="1"/>
  </cols>
  <sheetData>
    <row r="1" spans="2:9" ht="25.8" x14ac:dyDescent="0.5">
      <c r="D1" s="6" t="s">
        <v>143</v>
      </c>
      <c r="E1" s="7"/>
      <c r="F1" s="7"/>
    </row>
    <row r="2" spans="2:9" ht="21" x14ac:dyDescent="0.4">
      <c r="B2" s="2" t="s">
        <v>142</v>
      </c>
      <c r="C2" s="3">
        <v>4.09</v>
      </c>
    </row>
    <row r="3" spans="2:9" ht="21" x14ac:dyDescent="0.4">
      <c r="B3" s="2" t="s">
        <v>137</v>
      </c>
      <c r="C3" s="3" t="s">
        <v>138</v>
      </c>
    </row>
    <row r="4" spans="2:9" ht="21" x14ac:dyDescent="0.4">
      <c r="B4" s="2" t="s">
        <v>140</v>
      </c>
      <c r="C4" s="3" t="s">
        <v>141</v>
      </c>
      <c r="H4" s="8"/>
      <c r="I4" s="9"/>
    </row>
    <row r="5" spans="2:9" ht="21" x14ac:dyDescent="0.4">
      <c r="B5" s="2" t="s">
        <v>139</v>
      </c>
      <c r="C5" s="5">
        <v>99441</v>
      </c>
    </row>
    <row r="6" spans="2:9" ht="21" x14ac:dyDescent="0.4">
      <c r="D6" s="4"/>
    </row>
    <row r="7" spans="2:9" ht="21" x14ac:dyDescent="0.4">
      <c r="D7" s="4"/>
    </row>
    <row r="36" spans="7:7" x14ac:dyDescent="0.3">
      <c r="G36" t="s">
        <v>144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4394A-702C-4360-A367-E5BD2D7487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category_revenue (2)</vt:lpstr>
      <vt:lpstr>monthly_trend (2)</vt:lpstr>
      <vt:lpstr>payment_type (2)</vt:lpstr>
      <vt:lpstr>delivery_reviews (2)</vt:lpstr>
      <vt:lpstr>state_revenue (2)</vt:lpstr>
      <vt:lpstr>review_scores (2)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karthik</dc:creator>
  <cp:lastModifiedBy>dinesh karthik</cp:lastModifiedBy>
  <dcterms:created xsi:type="dcterms:W3CDTF">2026-05-20T07:23:45Z</dcterms:created>
  <dcterms:modified xsi:type="dcterms:W3CDTF">2026-05-23T12:31:23Z</dcterms:modified>
</cp:coreProperties>
</file>